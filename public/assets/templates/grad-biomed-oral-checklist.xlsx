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6880" tabRatio="600" firstSheet="0" activeTab="4" autoFilterDateGrouping="1"/>
  </bookViews>
  <sheets>
    <sheet xmlns:r="http://schemas.openxmlformats.org/officeDocument/2006/relationships" name="先讀這裡" sheetId="1" state="visible" r:id="rId1"/>
    <sheet xmlns:r="http://schemas.openxmlformats.org/officeDocument/2006/relationships" name="題庫與素材" sheetId="2" state="visible" r:id="rId2"/>
    <sheet xmlns:r="http://schemas.openxmlformats.org/officeDocument/2006/relationships" name="檢核表" sheetId="3" state="visible" r:id="rId3"/>
    <sheet xmlns:r="http://schemas.openxmlformats.org/officeDocument/2006/relationships" name="我到哪了" sheetId="4" state="visible" r:id="rId4"/>
    <sheet xmlns:r="http://schemas.openxmlformats.org/officeDocument/2006/relationships" name="模擬追問紀錄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新細明體"/>
      <family val="2"/>
      <color theme="1"/>
      <sz val="11"/>
      <scheme val="minor"/>
    </font>
    <font>
      <name val="Arial"/>
      <family val="2"/>
      <b val="1"/>
      <color rgb="FF1F3A5F"/>
      <sz val="24"/>
    </font>
    <font>
      <name val="Arial"/>
      <family val="2"/>
      <color rgb="FF3F5674"/>
      <sz val="16"/>
    </font>
    <font>
      <name val="Arial"/>
      <family val="2"/>
      <b val="1"/>
      <color rgb="FF1F3A5F"/>
      <sz val="16"/>
    </font>
    <font>
      <name val="Arial"/>
      <family val="2"/>
      <b val="1"/>
      <color rgb="FFFFFFFF"/>
      <sz val="16"/>
    </font>
    <font>
      <name val="Arial"/>
      <family val="2"/>
      <color rgb="FF6D8098"/>
      <sz val="16"/>
    </font>
    <font>
      <name val="Arial"/>
      <family val="2"/>
      <b val="1"/>
      <color rgb="FFA54E3D"/>
      <sz val="16"/>
    </font>
    <font>
      <name val="Arial"/>
      <family val="2"/>
      <sz val="16"/>
    </font>
    <font>
      <name val="Courier New"/>
      <family val="1"/>
      <color theme="1" tint="0.3499862666707358"/>
      <sz val="16"/>
    </font>
    <font>
      <name val="新細明體"/>
      <charset val="136"/>
      <family val="3"/>
      <sz val="9"/>
      <scheme val="minor"/>
    </font>
  </fonts>
  <fills count="5">
    <fill>
      <patternFill/>
    </fill>
    <fill>
      <patternFill patternType="gray125"/>
    </fill>
    <fill>
      <patternFill patternType="solid">
        <fgColor rgb="FFE4EAF2"/>
      </patternFill>
    </fill>
    <fill>
      <patternFill patternType="solid">
        <fgColor rgb="FF1F3A5F"/>
      </patternFill>
    </fill>
    <fill>
      <patternFill patternType="solid">
        <fgColor rgb="FFFFF6D9"/>
      </patternFill>
    </fill>
  </fills>
  <borders count="3">
    <border>
      <left/>
      <right/>
      <top/>
      <bottom/>
      <diagonal/>
    </border>
    <border>
      <left style="thin">
        <color rgb="FFC8D2DE"/>
      </left>
      <right style="thin">
        <color rgb="FFC8D2DE"/>
      </right>
      <top style="thin">
        <color rgb="FFC8D2DE"/>
      </top>
      <bottom style="thin">
        <color rgb="FFC8D2DE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17">
    <xf numFmtId="0" fontId="0" fillId="0" borderId="0" pivotButton="0" quotePrefix="0" xfId="0"/>
    <xf numFmtId="0" fontId="3" fillId="2" borderId="0" pivotButton="0" quotePrefix="0" xfId="0"/>
    <xf numFmtId="0" fontId="1" fillId="0" borderId="0" applyAlignment="1" pivotButton="0" quotePrefix="0" xfId="0">
      <alignment horizontal="left"/>
    </xf>
    <xf numFmtId="0" fontId="4" fillId="3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8" fillId="0" borderId="2" applyAlignment="1" pivotButton="0" quotePrefix="0" xfId="0">
      <alignment vertical="center"/>
    </xf>
    <xf numFmtId="0" fontId="7" fillId="4" borderId="1" applyAlignment="1" pivotButton="0" quotePrefix="0" xfId="0">
      <alignment vertical="top" wrapText="1"/>
    </xf>
    <xf numFmtId="9" fontId="7" fillId="0" borderId="1" applyAlignment="1" pivotButton="0" quotePrefix="0" xfId="0">
      <alignment vertical="top" wrapText="1"/>
    </xf>
    <xf numFmtId="14" fontId="7" fillId="4" borderId="1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0" fontId="5" fillId="0" borderId="2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9"/>
  <sheetViews>
    <sheetView showGridLines="0" zoomScale="75" workbookViewId="0">
      <pane ySplit="2" topLeftCell="A85" activePane="bottomLeft" state="frozen"/>
      <selection pane="bottomLeft" activeCell="A91" sqref="A91:XFD95"/>
    </sheetView>
  </sheetViews>
  <sheetFormatPr baseColWidth="10" defaultColWidth="9" defaultRowHeight="14"/>
  <cols>
    <col width="67.19921875" customWidth="1" style="10" min="1" max="1"/>
    <col width="87.3984375" customWidth="1" style="10" min="2" max="2"/>
    <col width="71" customWidth="1" style="10" min="3" max="3"/>
    <col width="14" customWidth="1" style="10" min="4" max="4"/>
    <col width="12" customWidth="1" style="10" min="5" max="6"/>
  </cols>
  <sheetData>
    <row r="1" ht="30" customHeight="1" s="10">
      <c r="A1" s="2" t="inlineStr">
        <is>
          <t>生醫與公衛｜口試自我檢核表　v1</t>
        </is>
      </c>
    </row>
    <row r="2" ht="28" customHeight="1" s="10">
      <c r="A2" s="14" t="inlineStr">
        <is>
          <t>先讀這頁，大約7分鐘。這份工具有五個分頁，主體是題庫與打勾。</t>
        </is>
      </c>
    </row>
    <row r="3" ht="40" customHeight="1" s="10"/>
    <row r="4" ht="24" customHeight="1" s="10">
      <c r="A4" s="1" t="inlineStr">
        <is>
          <t>這份表是什麼、不是什麼</t>
        </is>
      </c>
    </row>
    <row r="5" ht="26" customHeight="1" s="10">
      <c r="A5" s="3" t="inlineStr">
        <is>
          <t>它是</t>
        </is>
      </c>
      <c r="B5" s="3" t="inlineStr">
        <is>
          <t>它不是</t>
        </is>
      </c>
    </row>
    <row r="6" ht="54" customHeight="1" s="10">
      <c r="A6" s="4" t="inlineStr">
        <is>
          <t>一面鏡子。照出你對自己的研究問題、實驗設計與統計理解到哪了，哪些題目還答不出來。</t>
        </is>
      </c>
      <c r="B6" s="4" t="inlineStr">
        <is>
          <t>研究計畫的朗讀稿。把計畫逐字背熟、希望教授照著問，只要一句追問偏離劇本就會卡住。</t>
        </is>
      </c>
    </row>
    <row r="7" ht="54" customHeight="1" s="10">
      <c r="A7" s="4" t="inlineStr">
        <is>
          <t>一次二十分鐘就做得完的自我盤點。</t>
        </is>
      </c>
      <c r="B7" s="4" t="inlineStr">
        <is>
          <t>口才訓練。這裡不教你怎麼講，只告訴你哪一題還沒想通。</t>
        </is>
      </c>
    </row>
    <row r="8" ht="54" customHeight="1" s="10">
      <c r="A8" s="4" t="inlineStr">
        <is>
          <t>可以重複用的。每模擬一次口試就回來打一次。</t>
        </is>
      </c>
      <c r="B8" s="4" t="inlineStr">
        <is>
          <t>一次性的清單。全部打完勾不是終點，是可以上場的起點。</t>
        </is>
      </c>
    </row>
    <row r="9" ht="40" customHeight="1" s="10"/>
    <row r="10" ht="24" customHeight="1" s="10">
      <c r="A10" s="1" t="inlineStr">
        <is>
          <t>口試是學術對話，不是背稿</t>
        </is>
      </c>
    </row>
    <row r="11" ht="32" customHeight="1" s="10">
      <c r="A11" s="15" t="inlineStr">
        <is>
          <t>教授花時間坐在你面前，不是要驗收你能不能複述自己寫過的東西，而是要判斷這個人適不適合進實驗室、能不能被託付一個題目。</t>
        </is>
      </c>
    </row>
    <row r="12" ht="26" customHeight="1" s="10">
      <c r="A12" s="3" t="inlineStr">
        <is>
          <t>教授想確認的六件事</t>
        </is>
      </c>
      <c r="B12" s="3" t="inlineStr">
        <is>
          <t>意思</t>
        </is>
      </c>
    </row>
    <row r="13" ht="32" customHeight="1" s="10">
      <c r="A13" s="4" t="inlineStr">
        <is>
          <t>你是否真的理解自己的研究</t>
        </is>
      </c>
      <c r="B13" s="4" t="inlineStr">
        <is>
          <t>而不只是照著指導老師的規劃執行。</t>
        </is>
      </c>
    </row>
    <row r="14" ht="32" customHeight="1" s="10">
      <c r="A14" s="4" t="inlineStr">
        <is>
          <t>你知不知道方法的限制與適用邊界</t>
        </is>
      </c>
      <c r="B14" s="4" t="inlineStr">
        <is>
          <t>對照組能排除什麼、樣本能外推到哪裡。</t>
        </is>
      </c>
    </row>
    <row r="15" ht="32" customHeight="1" s="10">
      <c r="A15" s="4" t="inlineStr">
        <is>
          <t>面對不確定性能不能冷靜處理</t>
        </is>
      </c>
      <c r="B15" s="4" t="inlineStr">
        <is>
          <t>數據不如預期、證據不足的時候，你怎麼反應。</t>
        </is>
      </c>
    </row>
    <row r="16" ht="32" customHeight="1" s="10">
      <c r="A16" s="4" t="inlineStr">
        <is>
          <t>一連串追問裡邏輯能不能維持一致</t>
        </is>
      </c>
      <c r="B16" s="4" t="inlineStr">
        <is>
          <t>第三題的答案不能推翻第一題。</t>
        </is>
      </c>
    </row>
    <row r="17" ht="32" customHeight="1" s="10">
      <c r="A17" s="4" t="inlineStr">
        <is>
          <t>有沒有守住研究誠信</t>
        </is>
      </c>
      <c r="B17" s="4" t="inlineStr">
        <is>
          <t>如實呈現成功與失敗，不把結論說得比證據滿。</t>
        </is>
      </c>
    </row>
    <row r="18" ht="32" customHeight="1" s="10">
      <c r="A18" s="4" t="inlineStr">
        <is>
          <t>問題還沒有答案時，能不能提出下一步</t>
        </is>
      </c>
      <c r="B18" s="4" t="inlineStr">
        <is>
          <t>說得出要怎麼驗證，比答得漂亮重要。</t>
        </is>
      </c>
    </row>
    <row r="19" ht="48" customHeight="1" s="10">
      <c r="A19" s="12" t="inlineStr">
        <is>
          <t>與其背稿，不如練「講清楚」與「被追問」這兩件事：能不能用三分鐘把研究問題、方法與貢獻說明白；當教授往下挖實驗設計、統計選擇與替代方案時，你接不接得住。</t>
        </is>
      </c>
    </row>
    <row r="20" ht="40" customHeight="1" s="10"/>
    <row r="21" ht="24" customHeight="1" s="10">
      <c r="A21" s="1" t="inlineStr">
        <is>
          <t>研究誠信與忠實呈現</t>
        </is>
      </c>
    </row>
    <row r="22" ht="48" customHeight="1" s="10">
      <c r="A22" s="15" t="inlineStr">
        <is>
          <t>這個領域口試桌上最被看重的，不是你答得多漂亮，而是答得多誠實。生醫實驗失敗率高、週期長，公衛研究也常受樣本與偏差牽制，沒有一份碩士階段的研究是完美的。把每個結果都講得斬釘截鐵、對限制輕描淡寫，反而會讓教授起疑。</t>
        </is>
      </c>
    </row>
    <row r="23" ht="26" customHeight="1" s="10">
      <c r="A23" s="3" t="inlineStr">
        <is>
          <t>這樣講</t>
        </is>
      </c>
      <c r="B23" s="3" t="inlineStr">
        <is>
          <t>為什麼更可信</t>
        </is>
      </c>
    </row>
    <row r="24" ht="48" customHeight="1" s="10">
      <c r="A24" s="4" t="inlineStr">
        <is>
          <t>「這裡我試了三次才成功，前兩次是因為污染。」</t>
        </is>
      </c>
      <c r="B24" s="4" t="inlineStr">
        <is>
          <t>有除錯過程，代表你真的做過、也看懂了。</t>
        </is>
      </c>
    </row>
    <row r="25" ht="48" customHeight="1" s="10">
      <c r="A25" s="4" t="inlineStr">
        <is>
          <t>「這個結論目前只在這個細胞株上成立，還不能外推。」</t>
        </is>
      </c>
      <c r="B25" s="4" t="inlineStr">
        <is>
          <t>知道資料的邊界，教授才敢把題目交給你。</t>
        </is>
      </c>
    </row>
    <row r="26" ht="48" customHeight="1" s="10">
      <c r="A26" s="12" t="inlineStr">
        <is>
          <t>掛名的分寸、資料處理到什麼程度算修飾、重複發表與引用不當的界線，教育部臺灣學術倫理教育資源中心的線上課程是最直接的參考。多數學校列為研究生必修時數，口試被問到專題貢獻歸屬時會用得上。</t>
        </is>
      </c>
    </row>
    <row r="27" ht="40" customHeight="1" s="10"/>
    <row r="28" ht="24" customHeight="1" s="10">
      <c r="A28" s="1" t="inlineStr">
        <is>
          <t>面對不會的問題：四步</t>
        </is>
      </c>
    </row>
    <row r="29" ht="43" customHeight="1" s="10">
      <c r="A29" s="15" t="inlineStr">
        <is>
          <t>口試一定會遇到答不出來的問題，這是設計使然。硬猜踩到研究誠信的紅線；過度防衛暴露你處理不確定性的能力不足。把「不會」轉成一段有條理的思考展示。</t>
        </is>
      </c>
    </row>
    <row r="30" ht="26" customHeight="1" s="10">
      <c r="A30" s="3" t="inlineStr">
        <is>
          <t>步驟</t>
        </is>
      </c>
      <c r="B30" s="3" t="inlineStr">
        <is>
          <t>做什麼</t>
        </is>
      </c>
      <c r="C30" s="3" t="inlineStr">
        <is>
          <t>例句</t>
        </is>
      </c>
    </row>
    <row r="31" ht="48" customHeight="1" s="10">
      <c r="A31" s="4" t="inlineStr">
        <is>
          <t>1 確認問題</t>
        </is>
      </c>
      <c r="B31" s="4" t="inlineStr">
        <is>
          <t>反問確認教授問的是哪一個層面。</t>
        </is>
      </c>
      <c r="C31" s="4" t="inlineStr">
        <is>
          <t>「老師的意思是想問，換成另一個族群這個結果還成不成立，對嗎？」</t>
        </is>
      </c>
    </row>
    <row r="32" ht="48" customHeight="1" s="10">
      <c r="A32" s="4" t="inlineStr">
        <is>
          <t>2 說明目前理解</t>
        </is>
      </c>
      <c r="B32" s="4" t="inlineStr">
        <is>
          <t>就手上的資料與讀過的文獻，先講你知道的部分。</t>
        </is>
      </c>
      <c r="C32" s="4" t="inlineStr">
        <is>
          <t>「這個關聯只在我這批樣本上觀察到，文獻上有兩種解釋。」</t>
        </is>
      </c>
    </row>
    <row r="33" ht="48" customHeight="1" s="10">
      <c r="A33" s="4" t="inlineStr">
        <is>
          <t>3 指出限制</t>
        </is>
      </c>
      <c r="B33" s="4" t="inlineStr">
        <is>
          <t>明說證據到哪裡為止。</t>
        </is>
      </c>
      <c r="C33" s="4" t="inlineStr">
        <is>
          <t>「我現在沒有足夠證據直接下這個結論，樣本數與族群代表性都還是限制。」</t>
        </is>
      </c>
    </row>
    <row r="34" ht="70" customHeight="1" s="10">
      <c r="A34" s="4" t="inlineStr">
        <is>
          <t>4 提出驗證方案</t>
        </is>
      </c>
      <c r="B34" s="4" t="inlineStr">
        <is>
          <t>你會怎麼查證。</t>
        </is>
      </c>
      <c r="C34" s="4" t="inlineStr">
        <is>
          <t>「我會先檢查樣本品質與對照組有沒有系統性差異，再用另一種分析方法或重複實驗驗證。」</t>
        </is>
      </c>
    </row>
    <row r="35" ht="40" customHeight="1" s="10"/>
    <row r="36" ht="24" customHeight="1" s="10">
      <c r="A36" s="1" t="inlineStr">
        <is>
          <t>什麼時候用，可以用幾次</t>
        </is>
      </c>
    </row>
    <row r="37" ht="48" customHeight="1" s="10">
      <c r="A37" s="15" t="inlineStr">
        <is>
          <t>口試通知到現場通常只有兩到四週。收到通知就開始打第一次，那時候題庫會有一半是空的，那正是它的用途。之後每模擬一次口試就回來打一次，上場前一天再走最後一遍。</t>
        </is>
      </c>
    </row>
    <row r="38" ht="40" customHeight="1" s="10"/>
    <row r="39" ht="24" customHeight="1" s="10">
      <c r="A39" s="1" t="inlineStr">
        <is>
          <t>五個分頁的分工</t>
        </is>
      </c>
    </row>
    <row r="40" ht="26" customHeight="1" s="10">
      <c r="A40" s="3" t="inlineStr">
        <is>
          <t>分頁</t>
        </is>
      </c>
      <c r="B40" s="3" t="inlineStr">
        <is>
          <t>做什麼</t>
        </is>
      </c>
    </row>
    <row r="41" ht="53" customHeight="1" s="10">
      <c r="A41" s="4" t="inlineStr">
        <is>
          <t>先讀這裡</t>
        </is>
      </c>
      <c r="B41" s="4" t="inlineStr">
        <is>
          <t>你正在讀的這頁。教授在確認什麼、四步框架、怎麼打勾、卡關怎麼辦。</t>
        </is>
      </c>
    </row>
    <row r="42" ht="53" customHeight="1" s="10">
      <c r="A42" s="4" t="inlineStr">
        <is>
          <t>題庫與素材</t>
        </is>
      </c>
      <c r="B42" s="4" t="inlineStr">
        <is>
          <t>要動手的地方。十六題各寫答案要點並打兩個勾，再填三分鐘骨架、三個研究限制、預期結果沒出現的備案。</t>
        </is>
      </c>
    </row>
    <row r="43" ht="53" customHeight="1" s="10">
      <c r="A43" s="4" t="inlineStr">
        <is>
          <t>檢核表</t>
        </is>
      </c>
      <c r="B43" s="4" t="inlineStr">
        <is>
          <t>4 區共 23 項，逐項打勾。每一項旁邊都寫好了沒打勾的話下一步做什麼。</t>
        </is>
      </c>
    </row>
    <row r="44" ht="53" customHeight="1" s="10">
      <c r="A44" s="4" t="inlineStr">
        <is>
          <t>我到哪了</t>
        </is>
      </c>
      <c r="B44" s="4" t="inlineStr">
        <is>
          <t>打完之後看這頁。6 區完成度與還沒打勾的數量。</t>
        </is>
      </c>
    </row>
    <row r="45" ht="53" customHeight="1" s="10">
      <c r="A45" s="4" t="inlineStr">
        <is>
          <t>模擬追問紀錄</t>
        </is>
      </c>
      <c r="B45" s="4" t="inlineStr">
        <is>
          <t>每找人模擬一次就記一列。被問倒的地方就是接下來要補的，不用寫得漂亮。</t>
        </is>
      </c>
    </row>
    <row r="46" ht="40" customHeight="1" s="10"/>
    <row r="47" ht="24" customHeight="1" s="10">
      <c r="A47" s="1" t="inlineStr">
        <is>
          <t>四個步驟</t>
        </is>
      </c>
    </row>
    <row r="48" ht="26" customHeight="1" s="10">
      <c r="A48" s="3" t="inlineStr">
        <is>
          <t>步驟</t>
        </is>
      </c>
      <c r="B48" s="3" t="inlineStr">
        <is>
          <t>做什麼</t>
        </is>
      </c>
    </row>
    <row r="49" ht="56" customHeight="1" s="10">
      <c r="A49" s="4" t="inlineStr">
        <is>
          <t>第 1 步</t>
        </is>
      </c>
      <c r="B49" s="4" t="inlineStr">
        <is>
          <t>切到「題庫與素材」分頁，十六題先寫答案要點。寫得出來就勾「寫出答案」。</t>
        </is>
      </c>
    </row>
    <row r="50" ht="56" customHeight="1" s="10">
      <c r="A50" s="4" t="inlineStr">
        <is>
          <t>第 2 步</t>
        </is>
      </c>
      <c r="B50" s="4" t="inlineStr">
        <is>
          <t>填三分鐘說明的骨架、三個最可能被追問的研究限制、預期結果沒出現怎麼辦。</t>
        </is>
      </c>
    </row>
    <row r="51" ht="56" customHeight="1" s="10">
      <c r="A51" s="4" t="inlineStr">
        <is>
          <t>第 3 步</t>
        </is>
      </c>
      <c r="B51" s="4" t="inlineStr">
        <is>
          <t>找人針對四類方向連問幾輪，講得出來的題目勾「練過口說」。再切到「檢核表」4 區打勾。</t>
        </is>
      </c>
    </row>
    <row r="52" ht="56" customHeight="1" s="10">
      <c r="A52" s="4" t="inlineStr">
        <is>
          <t>第 4 步</t>
        </is>
      </c>
      <c r="B52" s="4" t="inlineStr">
        <is>
          <t>切到「我到哪了」看哪一區最短，回頭補沒打勾的那幾項。</t>
        </is>
      </c>
    </row>
    <row r="53" ht="40" customHeight="1" s="10"/>
    <row r="54" ht="24" customHeight="1" s="10">
      <c r="A54" s="1" t="inlineStr">
        <is>
          <t>六個區塊各在檢查什麼</t>
        </is>
      </c>
    </row>
    <row r="55" ht="26" customHeight="1" s="10">
      <c r="A55" s="3" t="inlineStr">
        <is>
          <t>區塊</t>
        </is>
      </c>
      <c r="B55" s="3" t="inlineStr">
        <is>
          <t>幾項</t>
        </is>
      </c>
      <c r="C55" s="3" t="inlineStr">
        <is>
          <t>在檢查什麼</t>
        </is>
      </c>
    </row>
    <row r="56" ht="33" customHeight="1" s="10">
      <c r="A56" s="4" t="inlineStr">
        <is>
          <t>題庫：寫出答案</t>
        </is>
      </c>
      <c r="B56" s="4" t="inlineStr">
        <is>
          <t>16</t>
        </is>
      </c>
      <c r="C56" s="4" t="inlineStr">
        <is>
          <t>四類追問十六題，寫得出答案要點了沒。</t>
        </is>
      </c>
    </row>
    <row r="57" ht="33" customHeight="1" s="10">
      <c r="A57" s="4" t="inlineStr">
        <is>
          <t>題庫：練過口說</t>
        </is>
      </c>
      <c r="B57" s="4" t="inlineStr">
        <is>
          <t>16</t>
        </is>
      </c>
      <c r="C57" s="4" t="inlineStr">
        <is>
          <t>同樣十六題，被連續追問時講得出來了沒。</t>
        </is>
      </c>
    </row>
    <row r="58" ht="33" customHeight="1" s="10">
      <c r="A58" s="4" t="inlineStr">
        <is>
          <t>開場與研究誠信</t>
        </is>
      </c>
      <c r="B58" s="4" t="inlineStr">
        <is>
          <t>6</t>
        </is>
      </c>
      <c r="C58" s="4" t="inlineStr">
        <is>
          <t>三分鐘說明、圖表、限制盤點、學術倫理課程。</t>
        </is>
      </c>
    </row>
    <row r="59" ht="33" customHeight="1" s="10">
      <c r="A59" s="4" t="inlineStr">
        <is>
          <t>面對不會的問題</t>
        </is>
      </c>
      <c r="B59" s="4" t="inlineStr">
        <is>
          <t>5</t>
        </is>
      </c>
      <c r="C59" s="4" t="inlineStr">
        <is>
          <t>四步演練過了沒，有沒有硬猜或防衛。</t>
        </is>
      </c>
    </row>
    <row r="60" ht="33" customHeight="1" s="10">
      <c r="A60" s="4" t="inlineStr">
        <is>
          <t>上場前檢核</t>
        </is>
      </c>
      <c r="B60" s="4" t="inlineStr">
        <is>
          <t>6</t>
        </is>
      </c>
      <c r="C60" s="4" t="inlineStr">
        <is>
          <t>最後那道閘門。這六項沒到就還不能上場。</t>
        </is>
      </c>
    </row>
    <row r="61" ht="33" customHeight="1" s="10">
      <c r="A61" s="4" t="inlineStr">
        <is>
          <t>常見失分點</t>
        </is>
      </c>
      <c r="B61" s="4" t="inlineStr">
        <is>
          <t>6</t>
        </is>
      </c>
      <c r="C61" s="4" t="inlineStr">
        <is>
          <t>有沒有踩到最常見的六個失分回答。</t>
        </is>
      </c>
    </row>
    <row r="62" ht="40" customHeight="1" s="10"/>
    <row r="63" ht="24" customHeight="1" s="10">
      <c r="A63" s="1" t="inlineStr">
        <is>
          <t>什麼情況才算 ✓</t>
        </is>
      </c>
    </row>
    <row r="64" ht="32" customHeight="1" s="10">
      <c r="A64" s="15" t="inlineStr">
        <is>
          <t>打勾之前先問自己一句：如果現在有人要我當場講，我講得出來嗎。講得出來才算 ✓，覺得「應該會吧」不算。</t>
        </is>
      </c>
    </row>
    <row r="65" ht="32" customHeight="1" s="10">
      <c r="A65" s="15" t="inlineStr">
        <is>
          <t>這張表只有你自己會看。寬鬆給分唯一的效果，是讓你在口試現場才發現缺口。留白不是失敗，留白就是你接下來的工作清單。</t>
        </is>
      </c>
    </row>
    <row r="66" ht="32" customHeight="1" s="10">
      <c r="A66" s="16" t="inlineStr">
        <is>
          <t>「常見失分點」那一區的語意是相反的：✓ 代表「我確認自己不會這樣答」。表頭上有標。</t>
        </is>
      </c>
    </row>
    <row r="67" ht="40" customHeight="1" s="10"/>
    <row r="68" ht="24" customHeight="1" s="10">
      <c r="A68" s="1" t="inlineStr">
        <is>
          <t>結果怎麼看</t>
        </is>
      </c>
    </row>
    <row r="69" ht="26" customHeight="1" s="10">
      <c r="A69" s="3" t="inlineStr">
        <is>
          <t>你看到的</t>
        </is>
      </c>
      <c r="B69" s="3" t="inlineStr">
        <is>
          <t>代表什麼</t>
        </is>
      </c>
      <c r="C69" s="3" t="inlineStr">
        <is>
          <t>接下來</t>
        </is>
      </c>
    </row>
    <row r="70" ht="48" customHeight="1" s="10">
      <c r="A70" s="4" t="inlineStr">
        <is>
          <t>幾乎全空</t>
        </is>
      </c>
      <c r="B70" s="4" t="inlineStr">
        <is>
          <t>這不是壞消息，這是你現在的起點。</t>
        </is>
      </c>
      <c r="C70" s="4" t="inlineStr">
        <is>
          <t>從「上場前檢核」那六項往回推，一項對應一件要做的事。</t>
        </is>
      </c>
    </row>
    <row r="71" ht="48" customHeight="1" s="10">
      <c r="A71" s="4" t="inlineStr">
        <is>
          <t>寫出答案滿了，練過口說很空</t>
        </is>
      </c>
      <c r="B71" s="4" t="inlineStr">
        <is>
          <t>你想通了，但還沒被連續追問過。</t>
        </is>
      </c>
      <c r="C71" s="4" t="inlineStr">
        <is>
          <t>找學長姐、同學或顧問扮演口試委員，四類方向各連問幾輪。</t>
        </is>
      </c>
    </row>
    <row r="72" ht="48" customHeight="1" s="10">
      <c r="A72" s="4" t="inlineStr">
        <is>
          <t>實驗與資料那五題空著</t>
        </is>
      </c>
      <c r="B72" s="4" t="inlineStr">
        <is>
          <t>口試最常被攻的地方沒有防守。</t>
        </is>
      </c>
      <c r="C72" s="4" t="inlineStr">
        <is>
          <t>先把對照組、樣本數、偏差來源、替代方法四件事想清楚。</t>
        </is>
      </c>
    </row>
    <row r="73" ht="48" customHeight="1" s="10">
      <c r="A73" s="4" t="inlineStr">
        <is>
          <t>統計與推論那四題空著</t>
        </is>
      </c>
      <c r="B73" s="4" t="inlineStr">
        <is>
          <t>公衛尤其會被追到這一層。</t>
        </is>
      </c>
      <c r="C73" s="4" t="inlineStr">
        <is>
          <t>分得清 p 值與效應大小、統計顯著與臨床或政策意義，再回來填。</t>
        </is>
      </c>
    </row>
    <row r="74" ht="32" customHeight="1" s="10">
      <c r="A74" s="4" t="inlineStr">
        <is>
          <t>上場前檢核沒滿</t>
        </is>
      </c>
      <c r="B74" s="4" t="inlineStr">
        <is>
          <t>還不能上場。</t>
        </is>
      </c>
      <c r="C74" s="4" t="inlineStr">
        <is>
          <t>先補那六項，其他區暫時放著。</t>
        </is>
      </c>
    </row>
    <row r="75" ht="48" customHeight="1" s="10">
      <c r="A75" s="4" t="inlineStr">
        <is>
          <t>55 項全滿</t>
        </is>
      </c>
      <c r="B75" s="4" t="inlineStr">
        <is>
          <t>準備到位了。</t>
        </is>
      </c>
      <c r="C75" s="4" t="inlineStr">
        <is>
          <t>口試前一天再對著人講一次三分鐘版本，計時。</t>
        </is>
      </c>
    </row>
    <row r="76" ht="40" customHeight="1" s="10"/>
    <row r="77" ht="24" customHeight="1" s="10">
      <c r="A77" s="1" t="inlineStr">
        <is>
          <t>沒打勾的，去哪裡補</t>
        </is>
      </c>
    </row>
    <row r="78" ht="26" customHeight="1" s="10">
      <c r="A78" s="3" t="inlineStr">
        <is>
          <t>缺的是</t>
        </is>
      </c>
      <c r="B78" s="3" t="inlineStr">
        <is>
          <t>去哪裡補</t>
        </is>
      </c>
      <c r="C78" s="3" t="inlineStr">
        <is>
          <t>要補成什麼樣子</t>
        </is>
      </c>
    </row>
    <row r="79" ht="48" customHeight="1" s="10">
      <c r="A79" s="4" t="inlineStr">
        <is>
          <t>某一題寫不出答案</t>
        </is>
      </c>
      <c r="B79" s="4" t="inlineStr">
        <is>
          <t>回研究計畫本身</t>
        </is>
      </c>
      <c r="C79" s="4" t="inlineStr">
        <is>
          <t>那題就是你目前最大的風險。先想通，再寫要點，不要硬背。</t>
        </is>
      </c>
    </row>
    <row r="80" ht="48" customHeight="1" s="10">
      <c r="A80" s="4" t="inlineStr">
        <is>
          <t>三分鐘講不完</t>
        </is>
      </c>
      <c r="B80" s="4" t="inlineStr">
        <is>
          <t>三分鐘說明的骨架</t>
        </is>
      </c>
      <c r="C80" s="4" t="inlineStr">
        <is>
          <t>研究問題、方法、貢獻三段各給秒數，計時練到不用看稿。</t>
        </is>
      </c>
    </row>
    <row r="81" ht="48" customHeight="1" s="10">
      <c r="A81" s="4" t="inlineStr">
        <is>
          <t>對照組說不出能排除什麼</t>
        </is>
      </c>
      <c r="B81" s="4" t="inlineStr">
        <is>
          <t>題庫實驗與資料第二題</t>
        </is>
      </c>
      <c r="C81" s="4" t="inlineStr">
        <is>
          <t>正對照、負對照各能排除哪一種解釋，說不出來就是設計沒想過。</t>
        </is>
      </c>
    </row>
    <row r="82" ht="48" customHeight="1" s="10">
      <c r="A82" s="4" t="inlineStr">
        <is>
          <t>樣本數被問就心虛</t>
        </is>
      </c>
      <c r="B82" s="4" t="inlineStr">
        <is>
          <t>題庫實驗與資料第三題</t>
        </is>
      </c>
      <c r="C82" s="4" t="inlineStr">
        <is>
          <t>憑什麼認為夠：檢定力、前人研究或先驗估計，講得出其中一種。</t>
        </is>
      </c>
    </row>
    <row r="83" ht="48" customHeight="1" s="10">
      <c r="A83" s="4" t="inlineStr">
        <is>
          <t>統計顯著就當作重要</t>
        </is>
      </c>
      <c r="B83" s="4" t="inlineStr">
        <is>
          <t>題庫統計與推論第四題</t>
        </is>
      </c>
      <c r="C83" s="4" t="inlineStr">
        <is>
          <t>p 值之外還要講效應大小與臨床或政策意義。</t>
        </is>
      </c>
    </row>
    <row r="84" ht="48" customHeight="1" s="10">
      <c r="A84" s="4" t="inlineStr">
        <is>
          <t>預期結果沒出現答不出下一步</t>
        </is>
      </c>
      <c r="B84" s="4" t="inlineStr">
        <is>
          <t>預期結果沒出現怎麼辦</t>
        </is>
      </c>
      <c r="C84" s="4" t="inlineStr">
        <is>
          <t>判斷問題來源、替代 protocol 或資料來源、可縮減的步驟，三格都填。</t>
        </is>
      </c>
    </row>
    <row r="85" ht="48" customHeight="1" s="10">
      <c r="A85" s="4" t="inlineStr">
        <is>
          <t>被問不會的就硬猜</t>
        </is>
      </c>
      <c r="B85" s="4" t="inlineStr">
        <is>
          <t>面對不會的問題四步</t>
        </is>
      </c>
      <c r="C85" s="4" t="inlineStr">
        <is>
          <t>確認問題、說明理解、指出限制、提出驗證。演練過一次。</t>
        </is>
      </c>
    </row>
    <row r="86" ht="48" customHeight="1" s="10">
      <c r="A86" s="4" t="inlineStr">
        <is>
          <t>失敗經驗只說運氣不好</t>
        </is>
      </c>
      <c r="B86" s="4" t="inlineStr">
        <is>
          <t>研究誠信</t>
        </is>
      </c>
      <c r="C86" s="4" t="inlineStr">
        <is>
          <t>找出一次你試了幾次才成功的例子，說得出前幾次為什麼失敗。</t>
        </is>
      </c>
    </row>
    <row r="87" ht="42" customHeight="1" s="10">
      <c r="A87" s="12" t="inlineStr">
        <is>
          <t>要寫成完整答案的部分寫在你自己的筆記裡，這裡只負責告訴你缺什麼。</t>
        </is>
      </c>
    </row>
    <row r="88" ht="40" customHeight="1" s="10"/>
    <row r="89" ht="24" customHeight="1" s="10">
      <c r="A89" s="1" t="inlineStr">
        <is>
          <t>卡關時</t>
        </is>
      </c>
    </row>
    <row r="90" ht="26" customHeight="1" s="10">
      <c r="A90" s="3" t="inlineStr">
        <is>
          <t>狀況</t>
        </is>
      </c>
      <c r="B90" s="3" t="inlineStr">
        <is>
          <t>怎麼辦</t>
        </is>
      </c>
    </row>
    <row r="91" ht="75" customHeight="1" s="10">
      <c r="A91" s="4" t="inlineStr">
        <is>
          <t>口試需要把研究計畫背起來嗎</t>
        </is>
      </c>
      <c r="B91" s="4" t="inlineStr">
        <is>
          <t>不用背稿，要能對話。與其背誦，不如練習用三分鐘講清楚問題、方法與貢獻，再準備好被追問實驗設計、統計與替代方案。</t>
        </is>
      </c>
    </row>
    <row r="92" ht="75" customHeight="1" s="10">
      <c r="A92" s="4" t="inlineStr">
        <is>
          <t>被問到不會的問題怎麼辦</t>
        </is>
      </c>
      <c r="B92" s="4" t="inlineStr">
        <is>
          <t>不要硬猜或過度防衛。照「確認問題→說明目前理解→指出限制→提出驗證方案」回應，坦白目前證據不足，說出會先檢查樣本品質與對照組、再用另一種分析或重複實驗驗證。</t>
        </is>
      </c>
    </row>
    <row r="93" ht="75" customHeight="1" s="10">
      <c r="A93" s="4" t="inlineStr">
        <is>
          <t>教授追問數據不合理，是想刁難我嗎</t>
        </is>
      </c>
      <c r="B93" s="4" t="inlineStr">
        <is>
          <t>多半不是。這類追問是想看你能不能處理不確定性：判斷問題來源、說明可能的偏差與混淆、提出下一步驗證。事先把每個限制想過一遍，這反而是加分題。</t>
        </is>
      </c>
    </row>
    <row r="94" ht="75" customHeight="1" s="10">
      <c r="A94" s="4" t="inlineStr">
        <is>
          <t>練習時同學都說沒問題</t>
        </is>
      </c>
      <c r="B94" s="4" t="inlineStr">
        <is>
          <t>同溫層聽不出你哪裡跳過了解釋。至少找一個不熟悉你題目的人，讓他針對四類方向連問，被打斷時還能維持邏輯才算練過。</t>
        </is>
      </c>
    </row>
    <row r="95" ht="75" customHeight="1" s="10">
      <c r="A95" s="4" t="inlineStr">
        <is>
          <t>兩次打出來的數字一樣</t>
        </is>
      </c>
      <c r="B95" s="4" t="inlineStr">
        <is>
          <t>檢查一下是不是這段時間都在讀計畫、沒有找人練。讀得再熟，沒被追問過的題目還是空的。</t>
        </is>
      </c>
    </row>
    <row r="96" ht="40" customHeight="1" s="10"/>
    <row r="97" ht="14" customHeight="1" s="10"/>
    <row r="98" ht="28" customHeight="1" s="10">
      <c r="A98" s="5" t="inlineStr">
        <is>
          <t># 搭配文章：生醫與公衛研究所口試：如何答辯研究計畫與處理研究限制　https://tbd-edu.com/pages/resources/biomed-graduate-oral.html</t>
        </is>
      </c>
    </row>
    <row r="99" ht="28" customHeight="1" s="10">
      <c r="A99" s="5" t="inlineStr">
        <is>
          <t># TBD Studio ｜ https://tbd-edu.com/</t>
        </is>
      </c>
    </row>
  </sheetData>
  <mergeCells count="11">
    <mergeCell ref="A19:C19"/>
    <mergeCell ref="A11:C11"/>
    <mergeCell ref="A66:C66"/>
    <mergeCell ref="A37:C37"/>
    <mergeCell ref="A22:C22"/>
    <mergeCell ref="A87:C87"/>
    <mergeCell ref="A65:C65"/>
    <mergeCell ref="A26:C26"/>
    <mergeCell ref="A2:C2"/>
    <mergeCell ref="A29:C29"/>
    <mergeCell ref="A64:C6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showGridLines="0" zoomScale="75" workbookViewId="0">
      <pane ySplit="2" topLeftCell="A46" activePane="bottomLeft" state="frozen"/>
      <selection pane="bottomLeft" activeCell="B59" sqref="B59"/>
    </sheetView>
  </sheetViews>
  <sheetFormatPr baseColWidth="10" defaultColWidth="9" defaultRowHeight="14"/>
  <cols>
    <col width="29" customWidth="1" style="10" min="1" max="1"/>
    <col width="75.796875" customWidth="1" style="10" min="2" max="2"/>
    <col width="56.3984375" customWidth="1" style="10" min="3" max="3"/>
    <col width="17.3984375" customWidth="1" style="10" min="4" max="5"/>
    <col width="12" customWidth="1" style="10" min="6" max="6"/>
  </cols>
  <sheetData>
    <row r="1" ht="30" customHeight="1" s="10">
      <c r="A1" s="2" t="inlineStr">
        <is>
          <t>生醫與公衛｜口試自我檢核表　v1</t>
        </is>
      </c>
    </row>
    <row r="2" ht="28" customHeight="1" s="10">
      <c r="A2" s="14" t="inlineStr">
        <is>
          <t>先寫答案要點，再練口說。每題兩個勾：寫出答案了、練過口說了。判準見「先讀這裡」分頁。淡黃色的儲存格是要你填或勾的，其餘是給你讀的。</t>
        </is>
      </c>
    </row>
    <row r="3" ht="40" customHeight="1" s="10"/>
    <row r="4" ht="24" customHeight="1" s="10">
      <c r="A4" s="1" t="inlineStr">
        <is>
          <t>一、四類追問題庫（16 題）</t>
        </is>
      </c>
    </row>
    <row r="5" ht="26" customHeight="1" s="10">
      <c r="A5" s="3" t="inlineStr">
        <is>
          <t>類別</t>
        </is>
      </c>
      <c r="B5" s="3" t="inlineStr">
        <is>
          <t>題目</t>
        </is>
      </c>
      <c r="C5" s="3" t="inlineStr">
        <is>
          <t>我的內容</t>
        </is>
      </c>
      <c r="D5" s="3" t="inlineStr">
        <is>
          <t>寫出答案</t>
        </is>
      </c>
      <c r="E5" s="3" t="inlineStr">
        <is>
          <t>練過口說</t>
        </is>
      </c>
    </row>
    <row r="6" ht="32" customHeight="1" s="10">
      <c r="A6" s="4" t="inlineStr">
        <is>
          <t>研究問題</t>
        </is>
      </c>
      <c r="B6" s="4" t="inlineStr">
        <is>
          <t>為什麼選這個題目？</t>
        </is>
      </c>
      <c r="C6" s="6" t="n"/>
      <c r="D6" s="6" t="n"/>
      <c r="E6" s="6" t="n"/>
    </row>
    <row r="7" ht="32" customHeight="1" s="10">
      <c r="A7" s="4" t="inlineStr">
        <is>
          <t>研究問題</t>
        </is>
      </c>
      <c r="B7" s="4" t="inlineStr">
        <is>
          <t>這個問題的學術價值或實務價值在哪裡？</t>
        </is>
      </c>
      <c r="C7" s="6" t="n"/>
      <c r="D7" s="6" t="n"/>
      <c r="E7" s="6" t="n"/>
    </row>
    <row r="8" ht="32" customHeight="1" s="10">
      <c r="A8" s="4" t="inlineStr">
        <is>
          <t>研究問題</t>
        </is>
      </c>
      <c r="B8" s="4" t="inlineStr">
        <is>
          <t>和既有研究相比，你的新意是什麼？</t>
        </is>
      </c>
      <c r="C8" s="6" t="n"/>
      <c r="D8" s="6" t="n"/>
      <c r="E8" s="6" t="n"/>
    </row>
    <row r="9" ht="48" customHeight="1" s="10">
      <c r="A9" s="4" t="inlineStr">
        <is>
          <t>實驗與資料</t>
        </is>
      </c>
      <c r="B9" s="4" t="inlineStr">
        <is>
          <t>為什麼選這個細胞株、樣本或資料庫，而不是別的？</t>
        </is>
      </c>
      <c r="C9" s="6" t="n"/>
      <c r="D9" s="6" t="n"/>
      <c r="E9" s="6" t="n"/>
    </row>
    <row r="10" ht="32" customHeight="1" s="10">
      <c r="A10" s="4" t="inlineStr">
        <is>
          <t>實驗與資料</t>
        </is>
      </c>
      <c r="B10" s="4" t="inlineStr">
        <is>
          <t>對照組怎麼設計？正負對照有沒有到位？</t>
        </is>
      </c>
      <c r="C10" s="6" t="n"/>
      <c r="D10" s="6" t="n"/>
      <c r="E10" s="6" t="n"/>
    </row>
    <row r="11" ht="32" customHeight="1" s="10">
      <c r="A11" s="4" t="inlineStr">
        <is>
          <t>實驗與資料</t>
        </is>
      </c>
      <c r="B11" s="4" t="inlineStr">
        <is>
          <t>樣本數夠不夠？憑什麼認為夠？</t>
        </is>
      </c>
      <c r="C11" s="6" t="n"/>
      <c r="D11" s="6" t="n"/>
      <c r="E11" s="6" t="n"/>
    </row>
    <row r="12" ht="32" customHeight="1" s="10">
      <c r="A12" s="4" t="inlineStr">
        <is>
          <t>實驗與資料</t>
        </is>
      </c>
      <c r="B12" s="4" t="inlineStr">
        <is>
          <t>誤差與偏差可能來自哪裡？</t>
        </is>
      </c>
      <c r="C12" s="6" t="n"/>
      <c r="D12" s="6" t="n"/>
      <c r="E12" s="6" t="n"/>
    </row>
    <row r="13" ht="32" customHeight="1" s="10">
      <c r="A13" s="4" t="inlineStr">
        <is>
          <t>實驗與資料</t>
        </is>
      </c>
      <c r="B13" s="4" t="inlineStr">
        <is>
          <t>為什麼不用另一種方法？</t>
        </is>
      </c>
      <c r="C13" s="6" t="n"/>
      <c r="D13" s="6" t="n"/>
      <c r="E13" s="6" t="n"/>
    </row>
    <row r="14" ht="32" customHeight="1" s="10">
      <c r="A14" s="4" t="inlineStr">
        <is>
          <t>統計與推論</t>
        </is>
      </c>
      <c r="B14" s="4" t="inlineStr">
        <is>
          <t>為什麼用這個檢定或這個模型？</t>
        </is>
      </c>
      <c r="C14" s="6" t="n"/>
      <c r="D14" s="6" t="n"/>
      <c r="E14" s="6" t="n"/>
    </row>
    <row r="15" ht="32" customHeight="1" s="10">
      <c r="A15" s="4" t="inlineStr">
        <is>
          <t>統計與推論</t>
        </is>
      </c>
      <c r="B15" s="4" t="inlineStr">
        <is>
          <t>模型的假設在你的資料上成立嗎？</t>
        </is>
      </c>
      <c r="C15" s="6" t="n"/>
      <c r="D15" s="6" t="n"/>
      <c r="E15" s="6" t="n"/>
    </row>
    <row r="16" ht="32" customHeight="1" s="10">
      <c r="A16" s="4" t="inlineStr">
        <is>
          <t>統計與推論</t>
        </is>
      </c>
      <c r="B16" s="4" t="inlineStr">
        <is>
          <t>缺失值怎麼處理？混淆變項怎麼控制？</t>
        </is>
      </c>
      <c r="C16" s="6" t="n"/>
      <c r="D16" s="6" t="n"/>
      <c r="E16" s="6" t="n"/>
    </row>
    <row r="17" ht="32" customHeight="1" s="10">
      <c r="A17" s="4" t="inlineStr">
        <is>
          <t>統計與推論</t>
        </is>
      </c>
      <c r="B17" s="4" t="inlineStr">
        <is>
          <t>統計上顯著，是不是就代表實務上重要？</t>
        </is>
      </c>
      <c r="C17" s="6" t="n"/>
      <c r="D17" s="6" t="n"/>
      <c r="E17" s="6" t="n"/>
    </row>
    <row r="18" ht="32" customHeight="1" s="10">
      <c r="A18" s="4" t="inlineStr">
        <is>
          <t>風險與替代方案</t>
        </is>
      </c>
      <c r="B18" s="4" t="inlineStr">
        <is>
          <t>預期結果沒有出現怎麼辦？</t>
        </is>
      </c>
      <c r="C18" s="6" t="n"/>
      <c r="D18" s="6" t="n"/>
      <c r="E18" s="6" t="n"/>
    </row>
    <row r="19" ht="32" customHeight="1" s="10">
      <c r="A19" s="4" t="inlineStr">
        <is>
          <t>風險與替代方案</t>
        </is>
      </c>
      <c r="B19" s="4" t="inlineStr">
        <is>
          <t>實驗失敗時，你怎麼判斷問題出在哪一環？</t>
        </is>
      </c>
      <c r="C19" s="6" t="n"/>
      <c r="D19" s="6" t="n"/>
      <c r="E19" s="6" t="n"/>
    </row>
    <row r="20" ht="32" customHeight="1" s="10">
      <c r="A20" s="4" t="inlineStr">
        <is>
          <t>風險與替代方案</t>
        </is>
      </c>
      <c r="B20" s="4" t="inlineStr">
        <is>
          <t>時間不足時，哪些步驟可以縮減、哪些不能動？</t>
        </is>
      </c>
      <c r="C20" s="6" t="n"/>
      <c r="D20" s="6" t="n"/>
      <c r="E20" s="6" t="n"/>
    </row>
    <row r="21" ht="32" customHeight="1" s="10">
      <c r="A21" s="4" t="inlineStr">
        <is>
          <t>風險與替代方案</t>
        </is>
      </c>
      <c r="B21" s="4" t="inlineStr">
        <is>
          <t>有沒有替代的 protocol 或資料來源？</t>
        </is>
      </c>
      <c r="C21" s="6" t="n"/>
      <c r="D21" s="6" t="n"/>
      <c r="E21" s="6" t="n"/>
    </row>
    <row r="22" ht="42" customHeight="1" s="10">
      <c r="A22" s="12" t="inlineStr">
        <is>
          <t>每一類都先寫答案要點再練口說。追問多半從備審與研究計畫往下挖，備審裡的每段研究都要先想清楚。</t>
        </is>
      </c>
    </row>
    <row r="23" ht="40" customHeight="1" s="10"/>
    <row r="24" ht="24" customHeight="1" s="10">
      <c r="A24" s="1" t="inlineStr">
        <is>
          <t>二、三分鐘說明的骨架</t>
        </is>
      </c>
    </row>
    <row r="25" ht="26" customHeight="1" s="10">
      <c r="A25" s="3" t="inlineStr">
        <is>
          <t>段落</t>
        </is>
      </c>
      <c r="B25" s="3" t="inlineStr">
        <is>
          <t>要講什麼</t>
        </is>
      </c>
      <c r="C25" s="3" t="inlineStr">
        <is>
          <t>我的內容</t>
        </is>
      </c>
      <c r="D25" s="3" t="inlineStr">
        <is>
          <t>秒數</t>
        </is>
      </c>
    </row>
    <row r="26" ht="32" customHeight="1" s="10">
      <c r="A26" s="4" t="inlineStr">
        <is>
          <t>研究問題</t>
        </is>
      </c>
      <c r="B26" s="4" t="inlineStr">
        <is>
          <t>在解決什麼問題、為什麼值得做</t>
        </is>
      </c>
      <c r="C26" s="6" t="n"/>
      <c r="D26" s="4" t="inlineStr">
        <is>
          <t>0 到 60</t>
        </is>
      </c>
    </row>
    <row r="27" ht="48" customHeight="1" s="10">
      <c r="A27" s="4" t="inlineStr">
        <is>
          <t>方法與設計</t>
        </is>
      </c>
      <c r="B27" s="4" t="inlineStr">
        <is>
          <t>材料、對照組、分析方法，各一句</t>
        </is>
      </c>
      <c r="C27" s="6" t="n"/>
      <c r="D27" s="4" t="inlineStr">
        <is>
          <t>60 到 150</t>
        </is>
      </c>
    </row>
    <row r="28" ht="48" customHeight="1" s="10">
      <c r="A28" s="4" t="inlineStr">
        <is>
          <t>貢獻與下一步</t>
        </is>
      </c>
      <c r="B28" s="4" t="inlineStr">
        <is>
          <t>做完會多知道什麼、還缺什麼</t>
        </is>
      </c>
      <c r="C28" s="6" t="n"/>
      <c r="D28" s="4" t="inlineStr">
        <is>
          <t>150 到 180</t>
        </is>
      </c>
    </row>
    <row r="29" ht="42" customHeight="1" s="10">
      <c r="A29" s="12" t="inlineStr">
        <is>
          <t>不是背稿，是能在三分鐘內把研究問題、方法與貢獻講清楚。這段是整場口試的地基，之後的追問幾乎都從這裡延伸。計時練到不用看稿。</t>
        </is>
      </c>
    </row>
    <row r="30" ht="40" customHeight="1" s="10"/>
    <row r="31" ht="24" customHeight="1" s="10">
      <c r="A31" s="1" t="inlineStr">
        <is>
          <t>三、面對不會的問題：四步</t>
        </is>
      </c>
    </row>
    <row r="32" ht="26" customHeight="1" s="10">
      <c r="A32" s="3" t="inlineStr">
        <is>
          <t>步驟</t>
        </is>
      </c>
      <c r="B32" s="3" t="inlineStr">
        <is>
          <t>這一步要做什麼</t>
        </is>
      </c>
      <c r="C32" s="3" t="inlineStr">
        <is>
          <t>我的內容</t>
        </is>
      </c>
    </row>
    <row r="33" ht="32" customHeight="1" s="10">
      <c r="A33" s="4" t="inlineStr">
        <is>
          <t>1 確認問題</t>
        </is>
      </c>
      <c r="B33" s="4" t="inlineStr">
        <is>
          <t>反問確認教授問的是哪一個層面</t>
        </is>
      </c>
      <c r="C33" s="6" t="n"/>
    </row>
    <row r="34" ht="32" customHeight="1" s="10">
      <c r="A34" s="4" t="inlineStr">
        <is>
          <t>2 說明目前理解</t>
        </is>
      </c>
      <c r="B34" s="4" t="inlineStr">
        <is>
          <t>就手上的資料與讀過的文獻，先講你知道的部分</t>
        </is>
      </c>
      <c r="C34" s="6" t="n"/>
    </row>
    <row r="35" ht="32" customHeight="1" s="10">
      <c r="A35" s="4" t="inlineStr">
        <is>
          <t>3 指出限制</t>
        </is>
      </c>
      <c r="B35" s="4" t="inlineStr">
        <is>
          <t>明說證據到哪裡為止，例如樣本數與族群代表性</t>
        </is>
      </c>
      <c r="C35" s="6" t="n"/>
    </row>
    <row r="36" ht="48" customHeight="1" s="10">
      <c r="A36" s="4" t="inlineStr">
        <is>
          <t>4 提出驗證方案</t>
        </is>
      </c>
      <c r="B36" s="4" t="inlineStr">
        <is>
          <t>檢查樣本品質與對照組、換一種分析方法或重複實驗</t>
        </is>
      </c>
      <c r="C36" s="6" t="n"/>
    </row>
    <row r="37" ht="42" customHeight="1" s="10">
      <c r="A37" s="12" t="inlineStr">
        <is>
          <t>拿題庫裡你最沒把握的一題，照四步寫一次自己的版本。寫過才講得出來。</t>
        </is>
      </c>
    </row>
    <row r="38" ht="40" customHeight="1" s="10"/>
    <row r="39" ht="24" customHeight="1" s="10">
      <c r="A39" s="1" t="inlineStr">
        <is>
          <t>四、預先想好三個最可能被追問的研究限制</t>
        </is>
      </c>
    </row>
    <row r="40" ht="53" customHeight="1" s="10">
      <c r="A40" s="15" t="inlineStr">
        <is>
          <t>對照組的取捨、樣本數的底氣、統計方法的假設、可能的偏差與混淆——每一個環節都先問自己「為什麼這樣做、不這樣做會怎樣」。</t>
        </is>
      </c>
    </row>
    <row r="41" ht="26" customHeight="1" s="10">
      <c r="A41" s="3" t="inlineStr">
        <is>
          <t>編號</t>
        </is>
      </c>
      <c r="B41" s="3" t="inlineStr">
        <is>
          <t>我預期被追問的限制</t>
        </is>
      </c>
      <c r="C41" s="3" t="inlineStr">
        <is>
          <t>我的回應（為什麼這樣做、邊界在哪）</t>
        </is>
      </c>
    </row>
    <row r="42" ht="32" customHeight="1" s="10">
      <c r="A42" s="4" t="inlineStr">
        <is>
          <t>1</t>
        </is>
      </c>
      <c r="B42" s="6" t="n"/>
      <c r="C42" s="6" t="n"/>
    </row>
    <row r="43" ht="32" customHeight="1" s="10">
      <c r="A43" s="4" t="inlineStr">
        <is>
          <t>2</t>
        </is>
      </c>
      <c r="B43" s="6" t="n"/>
      <c r="C43" s="6" t="n"/>
    </row>
    <row r="44" ht="32" customHeight="1" s="10">
      <c r="A44" s="4" t="inlineStr">
        <is>
          <t>3</t>
        </is>
      </c>
      <c r="B44" s="6" t="n"/>
      <c r="C44" s="6" t="n"/>
    </row>
    <row r="45" ht="42" customHeight="1" s="10">
      <c r="A45" s="12" t="inlineStr">
        <is>
          <t>你比教授先想到自己的限制，被追問時就不會慌。</t>
        </is>
      </c>
    </row>
    <row r="46" ht="40" customHeight="1" s="10"/>
    <row r="47" ht="24" customHeight="1" s="10">
      <c r="A47" s="1" t="inlineStr">
        <is>
          <t>五、預期結果沒出現怎麼辦（幾乎必考）</t>
        </is>
      </c>
    </row>
    <row r="48" ht="26" customHeight="1" s="10">
      <c r="A48" s="3" t="inlineStr">
        <is>
          <t>問題</t>
        </is>
      </c>
      <c r="B48" s="3" t="inlineStr">
        <is>
          <t>我的內容</t>
        </is>
      </c>
    </row>
    <row r="49" ht="69" customHeight="1" s="10">
      <c r="A49" s="4" t="inlineStr">
        <is>
          <t>失敗時怎麼判斷問題出在哪一環</t>
        </is>
      </c>
      <c r="B49" s="6" t="n"/>
    </row>
    <row r="50" ht="69" customHeight="1" s="10">
      <c r="A50" s="4" t="inlineStr">
        <is>
          <t>有沒有替代的 protocol 或資料來源</t>
        </is>
      </c>
      <c r="B50" s="6" t="n"/>
    </row>
    <row r="51" ht="69" customHeight="1" s="10">
      <c r="A51" s="4" t="inlineStr">
        <is>
          <t>時間不足時哪些步驟可以縮減、哪些不能動</t>
        </is>
      </c>
      <c r="B51" s="6" t="n"/>
    </row>
    <row r="52" ht="42" customHeight="1" s="10">
      <c r="A52" s="12" t="inlineStr">
        <is>
          <t>能坦然談「如果不順利會怎麼辦」的人，通常已經把題目想得比較透。</t>
        </is>
      </c>
    </row>
    <row r="53" ht="40" customHeight="1" s="10"/>
    <row r="54" ht="42" customHeight="1" s="10">
      <c r="A54" s="12" t="inlineStr">
        <is>
          <t>填完切到「檢核表」分頁。</t>
        </is>
      </c>
    </row>
    <row r="55" ht="14" customHeight="1" s="10"/>
    <row r="56" ht="28" customHeight="1" s="10">
      <c r="A56" s="5" t="inlineStr">
        <is>
          <t># 搭配文章：生醫與公衛研究所口試：如何答辯研究計畫與處理研究限制　https://tbd-edu.com/pages/resources/biomed-graduate-oral.html</t>
        </is>
      </c>
    </row>
    <row r="57" ht="28" customHeight="1" s="10">
      <c r="A57" s="5" t="inlineStr">
        <is>
          <t># TBD Studio ｜ https://tbd-edu.com/</t>
        </is>
      </c>
    </row>
  </sheetData>
  <mergeCells count="8">
    <mergeCell ref="A29:E29"/>
    <mergeCell ref="A2:E2"/>
    <mergeCell ref="A54:E54"/>
    <mergeCell ref="A52:E52"/>
    <mergeCell ref="A45:E45"/>
    <mergeCell ref="A37:E37"/>
    <mergeCell ref="A22:E22"/>
    <mergeCell ref="A40:E40"/>
  </mergeCells>
  <dataValidations count="1">
    <dataValidation sqref="D6:E21" showDropDown="0" showInputMessage="0" showErrorMessage="0" allowBlank="0" type="list">
      <formula1>"✓"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showGridLines="0" zoomScale="75" workbookViewId="0">
      <pane ySplit="2" topLeftCell="A27" activePane="bottomLeft" state="frozen"/>
      <selection pane="bottomLeft" activeCell="A45" sqref="A45"/>
    </sheetView>
  </sheetViews>
  <sheetFormatPr baseColWidth="10" defaultColWidth="9" defaultRowHeight="14"/>
  <cols>
    <col width="85" customWidth="1" style="10" min="1" max="1"/>
    <col width="17.3984375" customWidth="1" style="10" min="2" max="2"/>
    <col width="107" customWidth="1" style="10" min="3" max="3"/>
    <col width="12" customWidth="1" style="10" min="4" max="6"/>
  </cols>
  <sheetData>
    <row r="1" ht="30" customHeight="1" s="10">
      <c r="A1" s="2" t="inlineStr">
        <is>
          <t>生醫與公衛｜口試自我檢核表　v1</t>
        </is>
      </c>
    </row>
    <row r="2" ht="28" customHeight="1" s="10">
      <c r="A2" s="14" t="inlineStr">
        <is>
          <t>4 區共 23 項。當場講得出來才打 ✓，「應該會吧」留白。判準見「先讀這裡」分頁。淡黃色的儲存格是要你填或勾的，其餘是給你讀的。</t>
        </is>
      </c>
    </row>
    <row r="3" ht="40" customHeight="1" s="10"/>
    <row r="4" ht="24" customHeight="1" s="10">
      <c r="A4" s="1" t="inlineStr">
        <is>
          <t>第 1 區　開場與研究誠信（6 項）</t>
        </is>
      </c>
    </row>
    <row r="5" ht="26" customHeight="1" s="10">
      <c r="A5" s="3" t="inlineStr">
        <is>
          <t>檢核項目</t>
        </is>
      </c>
      <c r="B5" s="3" t="inlineStr">
        <is>
          <t>確認</t>
        </is>
      </c>
      <c r="C5" s="3" t="inlineStr">
        <is>
          <t>沒打勾的話，下一步</t>
        </is>
      </c>
    </row>
    <row r="6" ht="32" customHeight="1" s="10">
      <c r="A6" s="4" t="inlineStr">
        <is>
          <t>能用三分鐘講清楚研究問題、方法與貢獻</t>
        </is>
      </c>
      <c r="B6" s="6" t="n"/>
      <c r="C6" s="4" t="inlineStr">
        <is>
          <t>回題庫與素材第二節，先寫要點再計時講。</t>
        </is>
      </c>
    </row>
    <row r="7" ht="32" customHeight="1" s="10">
      <c r="A7" s="4" t="inlineStr">
        <is>
          <t>簡報邏輯清楚，每張圖表能自己解釋</t>
        </is>
      </c>
      <c r="B7" s="6" t="n"/>
      <c r="C7" s="4" t="inlineStr">
        <is>
          <t>每張圖練一句話結論加一段說明，做不到的那張就是破口。</t>
        </is>
      </c>
    </row>
    <row r="8" ht="32" customHeight="1" s="10">
      <c r="A8" s="4" t="inlineStr">
        <is>
          <t>準備好一句話說明「為什麼是我、為什麼是這個實驗室」</t>
        </is>
      </c>
      <c r="B8" s="6" t="n"/>
      <c r="C8" s="4" t="inlineStr">
        <is>
          <t>連回具體經歷與實驗室的資源，不是「我很有熱忱」。</t>
        </is>
      </c>
    </row>
    <row r="9" ht="32" customHeight="1" s="10">
      <c r="A9" s="4" t="inlineStr">
        <is>
          <t>忠實呈現成功與失敗，不誇大結論</t>
        </is>
      </c>
      <c r="B9" s="6" t="n"/>
      <c r="C9" s="4" t="inlineStr">
        <is>
          <t>找一次你試了幾次才成功的例子，練習主動講出前幾次為什麼失敗。</t>
        </is>
      </c>
    </row>
    <row r="10" ht="32" customHeight="1" s="10">
      <c r="A10" s="4" t="inlineStr">
        <is>
          <t>每個研究限制都想過一遍</t>
        </is>
      </c>
      <c r="B10" s="6" t="n"/>
      <c r="C10" s="4" t="inlineStr">
        <is>
          <t>回題庫與素材第四節，三個限制各寫回應。</t>
        </is>
      </c>
    </row>
    <row r="11" ht="32" customHeight="1" s="10">
      <c r="A11" s="4" t="inlineStr">
        <is>
          <t>學術倫理線上課程已修完</t>
        </is>
      </c>
      <c r="B11" s="6" t="n"/>
      <c r="C11" s="4" t="inlineStr">
        <is>
          <t>教育部臺灣學術倫理教育資源中心，多數學校列研究生必修時數。</t>
        </is>
      </c>
    </row>
    <row r="12" ht="42" customHeight="1" s="10">
      <c r="A12" s="12" t="inlineStr">
        <is>
          <t>研究誠信不是加分項，是這個類群口試的底線。</t>
        </is>
      </c>
    </row>
    <row r="13" ht="40" customHeight="1" s="10"/>
    <row r="14" ht="24" customHeight="1" s="10">
      <c r="A14" s="1" t="inlineStr">
        <is>
          <t>第 2 區　面對不會的問題（5 項）</t>
        </is>
      </c>
    </row>
    <row r="15" ht="26" customHeight="1" s="10">
      <c r="A15" s="3" t="inlineStr">
        <is>
          <t>檢核項目</t>
        </is>
      </c>
      <c r="B15" s="3" t="inlineStr">
        <is>
          <t>確認</t>
        </is>
      </c>
      <c r="C15" s="3" t="inlineStr">
        <is>
          <t>沒打勾的話，下一步</t>
        </is>
      </c>
    </row>
    <row r="16" ht="32" customHeight="1" s="10">
      <c r="A16" s="4" t="inlineStr">
        <is>
          <t>練過反問確認教授問的是哪一個層面</t>
        </is>
      </c>
      <c r="B16" s="6" t="n"/>
      <c r="C16" s="4" t="inlineStr">
        <is>
          <t>「老師的意思是想問……對嗎？」講得出口，不會慌。</t>
        </is>
      </c>
    </row>
    <row r="17" ht="32" customHeight="1" s="10">
      <c r="A17" s="4" t="inlineStr">
        <is>
          <t>練過先講目前掌握的資料與文獻</t>
        </is>
      </c>
      <c r="B17" s="6" t="n"/>
      <c r="C17" s="4" t="inlineStr">
        <is>
          <t>從你知道的部分推一個判斷，不要停在「不知道」。</t>
        </is>
      </c>
    </row>
    <row r="18" ht="32" customHeight="1" s="10">
      <c r="A18" s="4" t="inlineStr">
        <is>
          <t>練過明說證據到哪裡為止</t>
        </is>
      </c>
      <c r="B18" s="6" t="n"/>
      <c r="C18" s="4" t="inlineStr">
        <is>
          <t>樣本數、族群代表性、細胞株的外推邊界，說得出其中一個。</t>
        </is>
      </c>
    </row>
    <row r="19" ht="32" customHeight="1" s="10">
      <c r="A19" s="4" t="inlineStr">
        <is>
          <t>練過提出驗證方案</t>
        </is>
      </c>
      <c r="B19" s="6" t="n"/>
      <c r="C19" s="4" t="inlineStr">
        <is>
          <t>檢查樣本品質與對照組、換分析方法或重複實驗，至少一種。</t>
        </is>
      </c>
    </row>
    <row r="20" ht="32" customHeight="1" s="10">
      <c r="A20" s="4" t="inlineStr">
        <is>
          <t>我沒有硬猜，也沒有過度防衛</t>
        </is>
      </c>
      <c r="B20" s="6" t="n"/>
      <c r="C20" s="4" t="inlineStr">
        <is>
          <t>硬猜踩研究誠信的紅線；急著辯解暴露你處理不了不確定性。</t>
        </is>
      </c>
    </row>
    <row r="21" ht="42" customHeight="1" s="10">
      <c r="A21" s="12" t="inlineStr">
        <is>
          <t>四步演練過一次，講得出來而不會慌，才算。</t>
        </is>
      </c>
    </row>
    <row r="22" ht="40" customHeight="1" s="10"/>
    <row r="23" ht="24" customHeight="1" s="10">
      <c r="A23" s="1" t="inlineStr">
        <is>
          <t>第 3 區　上場前檢核（6 項　沒滿就還不能上場）</t>
        </is>
      </c>
    </row>
    <row r="24" ht="26" customHeight="1" s="10">
      <c r="A24" s="3" t="inlineStr">
        <is>
          <t>檢核項目</t>
        </is>
      </c>
      <c r="B24" s="3" t="inlineStr">
        <is>
          <t>確認</t>
        </is>
      </c>
      <c r="C24" s="3" t="inlineStr">
        <is>
          <t>沒打勾的話，下一步</t>
        </is>
      </c>
    </row>
    <row r="25" ht="32" customHeight="1" s="10">
      <c r="A25" s="4" t="inlineStr">
        <is>
          <t>能用三分鐘講清楚研究問題、方法與貢獻，且不用逐字稿</t>
        </is>
      </c>
      <c r="B25" s="6" t="n"/>
      <c r="C25" s="4" t="inlineStr">
        <is>
          <t>回題庫與素材第二節。被打斷要接得回來。</t>
        </is>
      </c>
    </row>
    <row r="26" ht="48" customHeight="1" s="10">
      <c r="A26" s="4" t="inlineStr">
        <is>
          <t>對照組、樣本數、統計假設、偏差每一個都想過「為什麼這樣做、不這樣做會怎樣」</t>
        </is>
      </c>
      <c r="B26" s="6" t="n"/>
      <c r="C26" s="4" t="inlineStr">
        <is>
          <t>回題庫實驗與資料、統計與推論兩類。</t>
        </is>
      </c>
    </row>
    <row r="27" ht="48" customHeight="1" s="10">
      <c r="A27" s="4" t="inlineStr">
        <is>
          <t>備好「預期結果沒出現怎麼辦」的答案，含判斷問題來源與替代方案</t>
        </is>
      </c>
      <c r="B27" s="6" t="n"/>
      <c r="C27" s="4" t="inlineStr">
        <is>
          <t>回題庫與素材第五節，三格都填。</t>
        </is>
      </c>
    </row>
    <row r="28" ht="32" customHeight="1" s="10">
      <c r="A28" s="4" t="inlineStr">
        <is>
          <t>已找人做過模擬追問，四類方向各連問幾輪</t>
        </is>
      </c>
      <c r="B28" s="6" t="n"/>
      <c r="C28" s="4" t="inlineStr">
        <is>
          <t>學長姐、同學或顧問都可以。一定要被打斷過。</t>
        </is>
      </c>
    </row>
    <row r="29" ht="32" customHeight="1" s="10">
      <c r="A29" s="4" t="inlineStr">
        <is>
          <t>備審與研究計畫裡的每段研究都重新讀過</t>
        </is>
      </c>
      <c r="B29" s="6" t="n"/>
      <c r="C29" s="4" t="inlineStr">
        <is>
          <t>追問多半從那裡往下挖。</t>
        </is>
      </c>
    </row>
    <row r="30" ht="32" customHeight="1" s="10">
      <c r="A30" s="4" t="inlineStr">
        <is>
          <t>服裝、時間、線上設備／網路或現場路線都已確認</t>
        </is>
      </c>
      <c r="B30" s="6" t="n"/>
      <c r="C30" s="4" t="inlineStr">
        <is>
          <t>線上口試先測過鏡頭與麥克風。</t>
        </is>
      </c>
    </row>
    <row r="31" ht="42" customHeight="1" s="10">
      <c r="A31" s="12" t="inlineStr">
        <is>
          <t>這六項是最後那道閘門。它們不是新工作，是把前面的準備再問一次。</t>
        </is>
      </c>
    </row>
    <row r="32" ht="40" customHeight="1" s="10"/>
    <row r="33" ht="24" customHeight="1" s="10">
      <c r="A33" s="1" t="inlineStr">
        <is>
          <t>第 4 區　常見失分點（6 項　✓ 代表我不會這樣答）</t>
        </is>
      </c>
    </row>
    <row r="34" ht="26" customHeight="1" s="10">
      <c r="A34" s="3" t="inlineStr">
        <is>
          <t>檢核項目</t>
        </is>
      </c>
      <c r="B34" s="3" t="inlineStr">
        <is>
          <t>確認</t>
        </is>
      </c>
      <c r="C34" s="3" t="inlineStr">
        <is>
          <t>沒打勾的話，下一步</t>
        </is>
      </c>
    </row>
    <row r="35" ht="32" customHeight="1" s="10">
      <c r="A35" s="4" t="inlineStr">
        <is>
          <t>答得出實驗步驟，答不出為什麼是這個條件</t>
        </is>
      </c>
      <c r="B35" s="6" t="n"/>
      <c r="C35" s="4" t="inlineStr">
        <is>
          <t>回題庫實驗與資料第一題：為什麼是這個材料，不是別的。</t>
        </is>
      </c>
    </row>
    <row r="36" ht="32" customHeight="1" s="10">
      <c r="A36" s="4" t="inlineStr">
        <is>
          <t>對照組說不出它能排除什麼、不能排除什麼</t>
        </is>
      </c>
      <c r="B36" s="6" t="n"/>
      <c r="C36" s="4" t="inlineStr">
        <is>
          <t>回題庫實驗與資料第二題。</t>
        </is>
      </c>
    </row>
    <row r="37" ht="32" customHeight="1" s="10">
      <c r="A37" s="4" t="inlineStr">
        <is>
          <t>樣本來源、檢體取得與倫理審查沒想過就上場</t>
        </is>
      </c>
      <c r="B37" s="6" t="n"/>
      <c r="C37" s="4" t="inlineStr">
        <is>
          <t>IRB 或 IACUC 的時程與要求，先弄清楚。</t>
        </is>
      </c>
    </row>
    <row r="38" ht="32" customHeight="1" s="10">
      <c r="A38" s="4" t="inlineStr">
        <is>
          <t>被問到失敗經驗時只說運氣不好，沒有除錯過程</t>
        </is>
      </c>
      <c r="B38" s="6" t="n"/>
      <c r="C38" s="4" t="inlineStr">
        <is>
          <t>回檢核表第 1 區第四項。</t>
        </is>
      </c>
    </row>
    <row r="39" ht="32" customHeight="1" s="10">
      <c r="A39" s="4" t="inlineStr">
        <is>
          <t>統計方法答不出為什麼選它、樣本數夠不夠</t>
        </is>
      </c>
      <c r="B39" s="6" t="n"/>
      <c r="C39" s="4" t="inlineStr">
        <is>
          <t>回題庫統計與推論第一題、實驗與資料第三題。</t>
        </is>
      </c>
    </row>
    <row r="40" ht="32" customHeight="1" s="10">
      <c r="A40" s="4" t="inlineStr">
        <is>
          <t>假設被推翻時說不出論文還能怎麼寫</t>
        </is>
      </c>
      <c r="B40" s="6" t="n"/>
      <c r="C40" s="4" t="inlineStr">
        <is>
          <t>回題庫風險與替代方案。負結果只要設計嚴謹就有價值。</t>
        </is>
      </c>
    </row>
    <row r="41" ht="40" customHeight="1" s="10"/>
    <row r="42" ht="42" customHeight="1" s="10">
      <c r="A42" s="12" t="inlineStr">
        <is>
          <t>打完切到「我到哪了」分頁看結果。</t>
        </is>
      </c>
    </row>
    <row r="43" ht="14" customHeight="1" s="10"/>
    <row r="44" ht="28" customHeight="1" s="10">
      <c r="A44" s="5" t="inlineStr">
        <is>
          <t># 搭配文章：生醫與公衛研究所口試：如何答辯研究計畫與處理研究限制　https://tbd-edu.com/pages/resources/biomed-graduate-oral.html</t>
        </is>
      </c>
    </row>
    <row r="45" ht="28" customHeight="1" s="10">
      <c r="A45" s="5" t="inlineStr">
        <is>
          <t># TBD Studio ｜ https://tbd-edu.com/</t>
        </is>
      </c>
    </row>
  </sheetData>
  <mergeCells count="5">
    <mergeCell ref="A42:C42"/>
    <mergeCell ref="A31:C31"/>
    <mergeCell ref="A21:C21"/>
    <mergeCell ref="A12:C12"/>
    <mergeCell ref="A2:C2"/>
  </mergeCells>
  <dataValidations count="1">
    <dataValidation sqref="B6:B11 B16:B20 B25:B30 B35:B40" showDropDown="0" showInputMessage="0" showErrorMessage="0" allowBlank="0" type="list">
      <formula1>"✓"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zoomScale="75" workbookViewId="0">
      <pane ySplit="2" topLeftCell="A3" activePane="bottomLeft" state="frozen"/>
      <selection pane="bottomLeft" activeCell="C12" sqref="C12"/>
    </sheetView>
  </sheetViews>
  <sheetFormatPr baseColWidth="10" defaultColWidth="9" defaultRowHeight="14"/>
  <cols>
    <col width="43.59765625" customWidth="1" style="10" min="1" max="1"/>
    <col width="20.3984375" customWidth="1" style="10" min="2" max="2"/>
    <col width="82.796875" customWidth="1" style="10" min="3" max="3"/>
    <col width="61" customWidth="1" style="10" min="4" max="4"/>
    <col width="12" customWidth="1" style="10" min="5" max="6"/>
  </cols>
  <sheetData>
    <row r="1" ht="30" customHeight="1" s="10">
      <c r="A1" s="2" t="inlineStr">
        <is>
          <t>生醫與公衛｜口試自我檢核表　v1</t>
        </is>
      </c>
    </row>
    <row r="2" ht="28" customHeight="1" s="10">
      <c r="A2" s="14" t="inlineStr">
        <is>
          <t>數字會跟著前面的分頁自動變。留白的項目就是你接下來的工作清單。</t>
        </is>
      </c>
    </row>
    <row r="3" ht="40" customHeight="1" s="10"/>
    <row r="4" ht="24" customHeight="1" s="10">
      <c r="A4" s="1" t="inlineStr">
        <is>
          <t>6 區完成度</t>
        </is>
      </c>
    </row>
    <row r="5" ht="26" customHeight="1" s="10">
      <c r="A5" s="3" t="inlineStr">
        <is>
          <t>區塊</t>
        </is>
      </c>
      <c r="B5" s="3" t="inlineStr">
        <is>
          <t>已確認</t>
        </is>
      </c>
      <c r="C5" s="3" t="inlineStr">
        <is>
          <t>完成的比例（滿格代表這一區做完）</t>
        </is>
      </c>
      <c r="D5" s="3" t="inlineStr">
        <is>
          <t>這一區在檢查什麼</t>
        </is>
      </c>
    </row>
    <row r="6" ht="32" customHeight="1" s="10">
      <c r="A6" s="4" t="inlineStr">
        <is>
          <t>題庫：寫出答案</t>
        </is>
      </c>
      <c r="B6" s="4">
        <f>COUNTIF(題庫與素材!D6:D21,"✓")&amp;" / 16"</f>
        <v/>
      </c>
      <c r="C6" s="4">
        <f>IF(COUNTIF(題庫與素材!D6:D21,"✓")=0,"尚未開始",REPT("█",ROUND(COUNTIF(題庫與素材!D6:D21,"✓")/16*16,0)))</f>
        <v/>
      </c>
      <c r="D6" s="4" t="inlineStr">
        <is>
          <t>四類追問十六題，寫得出答案要點了沒。</t>
        </is>
      </c>
    </row>
    <row r="7" ht="32" customHeight="1" s="10">
      <c r="A7" s="4" t="inlineStr">
        <is>
          <t>題庫：練過口說</t>
        </is>
      </c>
      <c r="B7" s="4">
        <f>COUNTIF(題庫與素材!E6:E21,"✓")&amp;" / 16"</f>
        <v/>
      </c>
      <c r="C7" s="4">
        <f>IF(COUNTIF(題庫與素材!E6:E21,"✓")=0,"尚未開始",REPT("█",ROUND(COUNTIF(題庫與素材!E6:E21,"✓")/16*16,0)))</f>
        <v/>
      </c>
      <c r="D7" s="4" t="inlineStr">
        <is>
          <t>同樣十六題，被連續追問時講得出來了沒。</t>
        </is>
      </c>
    </row>
    <row r="8" ht="32" customHeight="1" s="10">
      <c r="A8" s="4" t="inlineStr">
        <is>
          <t>開場與研究誠信</t>
        </is>
      </c>
      <c r="B8" s="4">
        <f>COUNTIF(檢核表!B6:B11,"✓")&amp;" / 6"</f>
        <v/>
      </c>
      <c r="C8" s="4">
        <f>IF(COUNTIF(檢核表!B6:B11,"✓")=0,"尚未開始",REPT("█",ROUND(COUNTIF(檢核表!B6:B11,"✓")/6*16,0)))</f>
        <v/>
      </c>
      <c r="D8" s="4" t="inlineStr">
        <is>
          <t>三分鐘說明、圖表、限制盤點、學術倫理課程。</t>
        </is>
      </c>
    </row>
    <row r="9" ht="32" customHeight="1" s="10">
      <c r="A9" s="4" t="inlineStr">
        <is>
          <t>面對不會的問題</t>
        </is>
      </c>
      <c r="B9" s="4">
        <f>COUNTIF(檢核表!B16:B20,"✓")&amp;" / 5"</f>
        <v/>
      </c>
      <c r="C9" s="4">
        <f>IF(COUNTIF(檢核表!B16:B20,"✓")=0,"尚未開始",REPT("█",ROUND(COUNTIF(檢核表!B16:B20,"✓")/5*16,0)))</f>
        <v/>
      </c>
      <c r="D9" s="4" t="inlineStr">
        <is>
          <t>四步演練過了沒，有沒有硬猜或防衛。</t>
        </is>
      </c>
    </row>
    <row r="10" ht="32" customHeight="1" s="10">
      <c r="A10" s="4" t="inlineStr">
        <is>
          <t>上場前檢核</t>
        </is>
      </c>
      <c r="B10" s="4">
        <f>COUNTIF(檢核表!B25:B30,"✓")&amp;" / 6"</f>
        <v/>
      </c>
      <c r="C10" s="4">
        <f>IF(COUNTIF(檢核表!B25:B30,"✓")=0,"尚未開始",REPT("█",ROUND(COUNTIF(檢核表!B25:B30,"✓")/6*16,0)))</f>
        <v/>
      </c>
      <c r="D10" s="4" t="inlineStr">
        <is>
          <t>最後那道閘門。這六項沒到就還不能上場。</t>
        </is>
      </c>
    </row>
    <row r="11" ht="32" customHeight="1" s="10">
      <c r="A11" s="4" t="inlineStr">
        <is>
          <t>常見失分點</t>
        </is>
      </c>
      <c r="B11" s="4">
        <f>COUNTIF(檢核表!B35:B40,"✓")&amp;" / 6"</f>
        <v/>
      </c>
      <c r="C11" s="4">
        <f>IF(COUNTIF(檢核表!B35:B40,"✓")=0,"尚未開始",REPT("█",ROUND(COUNTIF(檢核表!B35:B40,"✓")/6*16,0)))</f>
        <v/>
      </c>
      <c r="D11" s="4" t="inlineStr">
        <is>
          <t>有沒有踩到最常見的六個失分回答。</t>
        </is>
      </c>
    </row>
    <row r="12" ht="32" customHeight="1" s="10">
      <c r="A12" s="4" t="inlineStr">
        <is>
          <t>合計</t>
        </is>
      </c>
      <c r="B12" s="4">
        <f>(COUNTIF(題庫與素材!D6:D21,"✓")+COUNTIF(題庫與素材!E6:E21,"✓")+COUNTIF(檢核表!B6:B11,"✓")+COUNTIF(檢核表!B16:B20,"✓")+COUNTIF(檢核表!B25:B30,"✓")+COUNTIF(檢核表!B35:B40,"✓"))&amp;" / 55"</f>
        <v/>
      </c>
      <c r="C12" s="4">
        <f>IF((COUNTIF(題庫與素材!D6:D21,"✓")+COUNTIF(題庫與素材!E6:E21,"✓")+COUNTIF(檢核表!B6:B11,"✓")+COUNTIF(檢核表!B16:B20,"✓")+COUNTIF(檢核表!B25:B30,"✓")+COUNTIF(檢核表!B35:B40,"✓"))=0,"尚未開始",REPT("█",ROUND((COUNTIF(題庫與素材!D6:D21,"✓")+COUNTIF(題庫與素材!E6:E21,"✓")+COUNTIF(檢核表!B6:B11,"✓")+COUNTIF(檢核表!B16:B20,"✓")+COUNTIF(檢核表!B25:B30,"✓")+COUNTIF(檢核表!B35:B40,"✓"))/55*16,0)))</f>
        <v/>
      </c>
      <c r="D12" s="4" t="inlineStr">
        <is>
          <t>完成率見下方。</t>
        </is>
      </c>
    </row>
    <row r="13" ht="42" customHeight="1" s="10">
      <c r="A13" s="12" t="inlineStr">
        <is>
          <t>7 條長條都換算成同一個滿格刻度，所以可以直接互相比。最短的那一區就是你目前最弱的地方。</t>
        </is>
      </c>
    </row>
    <row r="14" ht="40" customHeight="1" s="10"/>
    <row r="15" ht="24" customHeight="1" s="10">
      <c r="A15" s="1" t="inlineStr">
        <is>
          <t>還有什麼可以做</t>
        </is>
      </c>
    </row>
    <row r="16" ht="26" customHeight="1" s="10">
      <c r="A16" s="3" t="inlineStr">
        <is>
          <t>完成率</t>
        </is>
      </c>
      <c r="B16" s="3" t="inlineStr">
        <is>
          <t>還沒打勾</t>
        </is>
      </c>
      <c r="C16" s="3" t="inlineStr">
        <is>
          <t>怎麼用這兩個數字</t>
        </is>
      </c>
    </row>
    <row r="17" ht="70" customHeight="1" s="10">
      <c r="A17" s="7">
        <f>(COUNTIF(題庫與素材!D6:D21,"✓")+COUNTIF(題庫與素材!E6:E21,"✓")+COUNTIF(檢核表!B6:B11,"✓")+COUNTIF(檢核表!B16:B20,"✓")+COUNTIF(檢核表!B25:B30,"✓")+COUNTIF(檢核表!B35:B40,"✓"))/55</f>
        <v/>
      </c>
      <c r="B17" s="4">
        <f>55-(COUNTIF(題庫與素材!D6:D21,"✓")+COUNTIF(題庫與素材!E6:E21,"✓")+COUNTIF(檢核表!B6:B11,"✓")+COUNTIF(檢核表!B16:B20,"✓")+COUNTIF(檢核表!B25:B30,"✓")+COUNTIF(檢核表!B35:B40,"✓"))</f>
        <v/>
      </c>
      <c r="C17" s="4" t="inlineStr">
        <is>
          <t>「還沒打勾」就是你的工作清單長度。回「檢核表」看那幾列的「下一步」欄，一項對應一件要做的事。</t>
        </is>
      </c>
    </row>
    <row r="18" ht="42" customHeight="1" s="10">
      <c r="A18" s="12" t="inlineStr">
        <is>
          <t>不用追求一次補完。每次回來處理三到五項，隔幾天再打一次，你會看得到自己的進度。</t>
        </is>
      </c>
    </row>
    <row r="19" ht="14" customHeight="1" s="10"/>
    <row r="20" ht="28" customHeight="1" s="10">
      <c r="A20" s="5" t="inlineStr">
        <is>
          <t># 搭配文章：生醫與公衛研究所口試：如何答辯研究計畫與處理研究限制　https://tbd-edu.com/pages/resources/biomed-graduate-oral.html</t>
        </is>
      </c>
    </row>
    <row r="21" ht="28" customHeight="1" s="10">
      <c r="A21" s="5" t="inlineStr">
        <is>
          <t># TBD Studio ｜ https://tbd-edu.com/</t>
        </is>
      </c>
    </row>
  </sheetData>
  <mergeCells count="3">
    <mergeCell ref="A18:D18"/>
    <mergeCell ref="A13:D13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tabSelected="1" zoomScale="75" workbookViewId="0">
      <pane ySplit="2" topLeftCell="A3" activePane="bottomLeft" state="frozen"/>
      <selection pane="bottomLeft" activeCell="C22" sqref="C22"/>
    </sheetView>
  </sheetViews>
  <sheetFormatPr baseColWidth="10" defaultColWidth="9" defaultRowHeight="14"/>
  <cols>
    <col width="16" customWidth="1" style="10" min="1" max="1"/>
    <col width="22" customWidth="1" style="10" min="2" max="2"/>
    <col width="62.3984375" customWidth="1" style="10" min="3" max="3"/>
    <col width="52" customWidth="1" style="10" min="4" max="4"/>
    <col width="14" customWidth="1" style="10" min="5" max="5"/>
    <col width="12" customWidth="1" style="10" min="6" max="6"/>
  </cols>
  <sheetData>
    <row r="1" ht="30" customHeight="1" s="10">
      <c r="A1" s="2" t="inlineStr">
        <is>
          <t>生醫與公衛｜口試自我檢核表　v1</t>
        </is>
      </c>
    </row>
    <row r="2" ht="28" customHeight="1" s="10">
      <c r="A2" s="14" t="inlineStr">
        <is>
          <t>每模擬一次記一列。被問倒的地方就是接下來要補的，不用寫得漂亮。淡黃色的儲存格是要你填或勾的，其餘是給你讀的。</t>
        </is>
      </c>
    </row>
    <row r="3" ht="40" customHeight="1" s="10"/>
    <row r="4" ht="24" customHeight="1" s="10">
      <c r="A4" s="1" t="inlineStr">
        <is>
          <t>模擬追問紀錄</t>
        </is>
      </c>
    </row>
    <row r="5" ht="26" customHeight="1" s="10">
      <c r="A5" s="3" t="inlineStr">
        <is>
          <t>日期</t>
        </is>
      </c>
      <c r="B5" s="3" t="inlineStr">
        <is>
          <t>追問類型</t>
        </is>
      </c>
      <c r="C5" s="3" t="inlineStr">
        <is>
          <t>被問倒的地方</t>
        </is>
      </c>
      <c r="D5" s="3" t="inlineStr">
        <is>
          <t>我的下一步</t>
        </is>
      </c>
      <c r="E5" s="3" t="inlineStr">
        <is>
          <t>已改進</t>
        </is>
      </c>
    </row>
    <row r="6" ht="32" customHeight="1" s="10">
      <c r="A6" s="8" t="n"/>
      <c r="B6" s="6" t="n"/>
      <c r="C6" s="6" t="n"/>
      <c r="D6" s="6" t="n"/>
      <c r="E6" s="6" t="n"/>
    </row>
    <row r="7" ht="32" customHeight="1" s="10">
      <c r="A7" s="8" t="n"/>
      <c r="B7" s="6" t="n"/>
      <c r="C7" s="6" t="n"/>
      <c r="D7" s="6" t="n"/>
      <c r="E7" s="6" t="n"/>
    </row>
    <row r="8" ht="32" customHeight="1" s="10">
      <c r="A8" s="8" t="n"/>
      <c r="B8" s="6" t="n"/>
      <c r="C8" s="6" t="n"/>
      <c r="D8" s="6" t="n"/>
      <c r="E8" s="6" t="n"/>
    </row>
    <row r="9" ht="32" customHeight="1" s="10">
      <c r="A9" s="8" t="n"/>
      <c r="B9" s="6" t="n"/>
      <c r="C9" s="6" t="n"/>
      <c r="D9" s="6" t="n"/>
      <c r="E9" s="6" t="n"/>
    </row>
    <row r="10" ht="32" customHeight="1" s="10">
      <c r="A10" s="8" t="n"/>
      <c r="B10" s="6" t="n"/>
      <c r="C10" s="6" t="n"/>
      <c r="D10" s="6" t="n"/>
      <c r="E10" s="6" t="n"/>
    </row>
    <row r="11" ht="32" customHeight="1" s="10">
      <c r="A11" s="8" t="n"/>
      <c r="B11" s="6" t="n"/>
      <c r="C11" s="6" t="n"/>
      <c r="D11" s="6" t="n"/>
      <c r="E11" s="6" t="n"/>
    </row>
    <row r="12" ht="32" customHeight="1" s="10">
      <c r="A12" s="8" t="n"/>
      <c r="B12" s="6" t="n"/>
      <c r="C12" s="6" t="n"/>
      <c r="D12" s="6" t="n"/>
      <c r="E12" s="6" t="n"/>
    </row>
    <row r="13" ht="32" customHeight="1" s="10">
      <c r="A13" s="8" t="n"/>
      <c r="B13" s="6" t="n"/>
      <c r="C13" s="6" t="n"/>
      <c r="D13" s="6" t="n"/>
      <c r="E13" s="6" t="n"/>
    </row>
    <row r="14" ht="32" customHeight="1" s="10">
      <c r="A14" s="8" t="n"/>
      <c r="B14" s="6" t="n"/>
      <c r="C14" s="6" t="n"/>
      <c r="D14" s="6" t="n"/>
      <c r="E14" s="6" t="n"/>
    </row>
    <row r="15" ht="32" customHeight="1" s="10">
      <c r="A15" s="8" t="n"/>
      <c r="B15" s="6" t="n"/>
      <c r="C15" s="6" t="n"/>
      <c r="D15" s="6" t="n"/>
      <c r="E15" s="6" t="n"/>
    </row>
    <row r="16" ht="42" customHeight="1" s="10">
      <c r="A16" s="12" t="inlineStr">
        <is>
          <t>自己想過和被別人連續追問是兩種壓力。找學長姐、同學或顧問各做一輪，四類方向都要問到。</t>
        </is>
      </c>
    </row>
    <row r="17" ht="14" customHeight="1" s="10"/>
    <row r="18" ht="28" customHeight="1" s="10">
      <c r="A18" s="5" t="inlineStr">
        <is>
          <t># 搭配文章：生醫與公衛研究所口試：如何答辯研究計畫與處理研究限制　https://tbd-edu.com/pages/resources/biomed-graduate-oral.html</t>
        </is>
      </c>
    </row>
    <row r="19" ht="28" customHeight="1" s="10">
      <c r="A19" s="5" t="inlineStr">
        <is>
          <t># TBD Studio ｜ https://tbd-edu.com/</t>
        </is>
      </c>
    </row>
  </sheetData>
  <mergeCells count="2">
    <mergeCell ref="A2:E2"/>
    <mergeCell ref="A16:E16"/>
  </mergeCells>
  <dataValidations count="2">
    <dataValidation sqref="E6:E15" showDropDown="0" showInputMessage="0" showErrorMessage="0" allowBlank="0" type="list">
      <formula1>"是,還沒"</formula1>
    </dataValidation>
    <dataValidation sqref="B6:B15" showDropDown="0" showInputMessage="0" showErrorMessage="0" allowBlank="0" type="list">
      <formula1>"研究問題,實驗與資料,統計與推論,風險與替代方案"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2026-09-21T09:18:00Z</dcterms:created>
  <dcterms:modified xmlns:dcterms="http://purl.org/dc/terms/" xmlns:xsi="http://www.w3.org/2001/XMLSchema-instance" xsi:type="dcterms:W3CDTF">2026-09-24T14:04:37Z</dcterms:modified>
  <cp:lastModifiedBy>TBD Studio</cp:lastModifiedBy>
</cp:coreProperties>
</file>