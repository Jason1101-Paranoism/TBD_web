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4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題庫與素材" sheetId="2" state="visible" r:id="rId2"/>
    <sheet xmlns:r="http://schemas.openxmlformats.org/officeDocument/2006/relationships" name="檢核表" sheetId="3" state="visible" r:id="rId3"/>
    <sheet xmlns:r="http://schemas.openxmlformats.org/officeDocument/2006/relationships" name="我到哪了" sheetId="4" state="visible" r:id="rId4"/>
    <sheet xmlns:r="http://schemas.openxmlformats.org/officeDocument/2006/relationships" name="模擬追問紀錄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1"/>
    </font>
    <font>
      <name val="Arial"/>
      <family val="2"/>
      <b val="1"/>
      <color rgb="FF1F3A5F"/>
      <sz val="24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b val="1"/>
      <color rgb="FFFFFFFF"/>
      <sz val="16"/>
    </font>
    <font>
      <name val="Arial"/>
      <family val="2"/>
      <sz val="16"/>
    </font>
    <font>
      <name val="Arial"/>
      <family val="2"/>
      <b val="1"/>
      <color rgb="FFA54E3D"/>
      <sz val="16"/>
    </font>
    <font>
      <name val="Arial"/>
      <family val="2"/>
      <color rgb="FF6D8098"/>
      <sz val="16"/>
    </font>
    <font>
      <name val="Courier New"/>
      <family val="1"/>
      <color theme="1" tint="0.3499862666707358"/>
      <sz val="16"/>
    </font>
  </fonts>
  <fills count="5">
    <fill>
      <patternFill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/>
      <top style="thin">
        <color rgb="FFC8D2DE"/>
      </top>
      <bottom style="thin">
        <color rgb="FFC8D2DE"/>
      </bottom>
      <diagonal/>
    </border>
    <border>
      <left/>
      <right/>
      <top/>
      <bottom/>
      <diagonal/>
    </border>
    <border>
      <left/>
      <right/>
      <top style="thin">
        <color rgb="FFC8D2DE"/>
      </top>
      <bottom/>
      <diagonal/>
    </border>
    <border>
      <left/>
      <right style="thin">
        <color rgb="FFC8D2DE"/>
      </right>
      <top style="thin">
        <color rgb="FFC8D2DE"/>
      </top>
      <bottom/>
      <diagonal/>
    </border>
  </borders>
  <cellStyleXfs count="1">
    <xf numFmtId="0" fontId="0" fillId="0" borderId="5"/>
  </cellStyleXfs>
  <cellXfs count="25">
    <xf numFmtId="0" fontId="0" fillId="0" borderId="0" pivotButton="0" quotePrefix="0" xfId="0"/>
    <xf numFmtId="0" fontId="3" fillId="0" borderId="0" applyAlignment="1" pivotButton="0" quotePrefix="0" xfId="0">
      <alignment horizontal="left"/>
    </xf>
    <xf numFmtId="0" fontId="5" fillId="2" borderId="0" pivotButton="0" quotePrefix="0" xfId="0"/>
    <xf numFmtId="0" fontId="6" fillId="3" borderId="2" applyAlignment="1" pivotButton="0" quotePrefix="0" xfId="0">
      <alignment vertical="center" wrapText="1"/>
    </xf>
    <xf numFmtId="0" fontId="7" fillId="0" borderId="2" applyAlignment="1" pivotButton="0" quotePrefix="0" xfId="0">
      <alignment vertical="top" wrapText="1"/>
    </xf>
    <xf numFmtId="49" fontId="7" fillId="0" borderId="2" applyAlignment="1" pivotButton="0" quotePrefix="0" xfId="0">
      <alignment vertical="top" wrapText="1"/>
    </xf>
    <xf numFmtId="0" fontId="2" fillId="0" borderId="1" pivotButton="0" quotePrefix="0" xfId="0"/>
    <xf numFmtId="0" fontId="10" fillId="0" borderId="1" applyAlignment="1" pivotButton="0" quotePrefix="0" xfId="0">
      <alignment vertical="center"/>
    </xf>
    <xf numFmtId="0" fontId="7" fillId="4" borderId="2" applyAlignment="1" pivotButton="0" quotePrefix="0" xfId="0">
      <alignment vertical="top" wrapText="1"/>
    </xf>
    <xf numFmtId="9" fontId="7" fillId="0" borderId="2" applyAlignment="1" pivotButton="0" quotePrefix="0" xfId="0">
      <alignment vertical="top" wrapText="1"/>
    </xf>
    <xf numFmtId="0" fontId="9" fillId="0" borderId="5" applyAlignment="1" pivotButton="0" quotePrefix="0" xfId="0">
      <alignment horizontal="left" vertical="top" wrapText="1"/>
    </xf>
    <xf numFmtId="14" fontId="7" fillId="4" borderId="2" applyAlignment="1" pivotButton="0" quotePrefix="0" xfId="0">
      <alignment vertical="top" wrapText="1"/>
    </xf>
    <xf numFmtId="0" fontId="9" fillId="0" borderId="1" applyAlignment="1" pivotButton="0" quotePrefix="0" xfId="0">
      <alignment horizontal="left" vertical="top" wrapText="1"/>
    </xf>
    <xf numFmtId="0" fontId="0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0" fillId="0" borderId="3" pivotButton="0" quotePrefix="0" xfId="0"/>
    <xf numFmtId="0" fontId="7" fillId="4" borderId="2" applyAlignment="1" pivotButton="0" quotePrefix="0" xfId="0">
      <alignment vertical="top" wrapText="1"/>
    </xf>
    <xf numFmtId="0" fontId="0" fillId="0" borderId="4" pivotButton="0" quotePrefix="0" xfId="0"/>
    <xf numFmtId="0" fontId="6" fillId="3" borderId="2" applyAlignment="1" pivotButton="0" quotePrefix="0" xfId="0">
      <alignment vertical="center" wrapText="1"/>
    </xf>
    <xf numFmtId="0" fontId="4" fillId="0" borderId="5" applyAlignment="1" pivotButton="0" quotePrefix="0" xfId="0">
      <alignment horizontal="left" vertical="top" wrapText="1"/>
    </xf>
    <xf numFmtId="0" fontId="8" fillId="0" borderId="5" applyAlignment="1" pivotButton="0" quotePrefix="0" xfId="0">
      <alignment vertical="top" wrapText="1"/>
    </xf>
    <xf numFmtId="0" fontId="7" fillId="0" borderId="5" applyAlignment="1" pivotButton="0" quotePrefix="0" xfId="0">
      <alignment vertical="top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showGridLines="0" zoomScale="75" workbookViewId="0">
      <pane ySplit="2" topLeftCell="A102" activePane="bottomLeft" state="frozen"/>
      <selection pane="bottomLeft" activeCell="A105" sqref="A105"/>
    </sheetView>
  </sheetViews>
  <sheetFormatPr baseColWidth="10" defaultColWidth="9" defaultRowHeight="14"/>
  <cols>
    <col width="56.3984375" customWidth="1" style="13" min="1" max="1"/>
    <col width="79.19921875" customWidth="1" style="13" min="2" max="2"/>
    <col width="42.59765625" customWidth="1" style="13" min="3" max="3"/>
    <col width="14" customWidth="1" style="13" min="4" max="4"/>
    <col width="12" customWidth="1" style="13" min="5" max="5"/>
    <col width="13" customWidth="1" style="13" min="6" max="6"/>
  </cols>
  <sheetData>
    <row r="1" ht="30" customHeight="1" s="13">
      <c r="A1" s="1" t="inlineStr">
        <is>
          <t>教育｜口試自我檢核表　v1</t>
        </is>
      </c>
    </row>
    <row r="2" ht="28" customHeight="1" s="13">
      <c r="A2" s="22" t="inlineStr">
        <is>
          <t>先讀這頁，大約7分鐘。這份工具有五個分頁，主體是題庫與打勾。</t>
        </is>
      </c>
    </row>
    <row r="3" ht="40" customHeight="1" s="13"/>
    <row r="4" ht="24" customHeight="1" s="13">
      <c r="A4" s="2" t="inlineStr">
        <is>
          <t>這份表是什麼、不是什麼</t>
        </is>
      </c>
    </row>
    <row r="5" ht="26" customHeight="1" s="13">
      <c r="A5" s="21" t="inlineStr">
        <is>
          <t>它是</t>
        </is>
      </c>
      <c r="B5" s="21" t="inlineStr">
        <is>
          <t>它不是</t>
        </is>
      </c>
    </row>
    <row r="6" ht="55" customHeight="1" s="13">
      <c r="A6" s="17" t="inlineStr">
        <is>
          <t>一面鏡子。照出你對自己的研究計畫、方法與現場理解到哪了，哪些題目還答不出來。</t>
        </is>
      </c>
      <c r="B6" s="17" t="inlineStr">
        <is>
          <t>自我介紹稿。教授不是在確認你有多想讀這個所，只準備自我介紹的人通常在第一個追問就開始慌。</t>
        </is>
      </c>
    </row>
    <row r="7" ht="55" customHeight="1" s="13">
      <c r="A7" s="17" t="inlineStr">
        <is>
          <t>一次二十到三十分鐘就做得完的自我盤點。</t>
        </is>
      </c>
      <c r="B7" s="17" t="inlineStr">
        <is>
          <t>口才訓練。這裡不教你怎麼講，只告訴你哪一題還沒想通、哪個流程還沒練過。</t>
        </is>
      </c>
    </row>
    <row r="8" ht="55" customHeight="1" s="13">
      <c r="A8" s="17" t="inlineStr">
        <is>
          <t>可以重複用的。每模擬一次口試就回來打一次。</t>
        </is>
      </c>
      <c r="B8" s="17" t="inlineStr">
        <is>
          <t>一次性的清單。全部打完勾不是終點，是可以上場的起點。</t>
        </is>
      </c>
    </row>
    <row r="9" ht="40" customHeight="1" s="13"/>
    <row r="10" ht="24" customHeight="1" s="13">
      <c r="A10" s="2" t="inlineStr">
        <is>
          <t>教授在確認什麼</t>
        </is>
      </c>
    </row>
    <row r="11" ht="32" customHeight="1" s="13">
      <c r="A11" s="23" t="inlineStr">
        <is>
          <t>教授在挑未來的研究同事，以及能一起進到現場的工作夥伴。</t>
        </is>
      </c>
    </row>
    <row r="12" ht="26" customHeight="1" s="13">
      <c r="A12" s="21" t="inlineStr">
        <is>
          <t>五件事</t>
        </is>
      </c>
      <c r="B12" s="21" t="inlineStr">
        <is>
          <t>意思</t>
        </is>
      </c>
    </row>
    <row r="13" ht="32" customHeight="1" s="13">
      <c r="A13" s="17" t="inlineStr">
        <is>
          <t>你對自己的研究計畫理解得夠不夠深</t>
        </is>
      </c>
      <c r="B13" s="17" t="inlineStr">
        <is>
          <t>那份計畫是你寫的，還是別人幫你組出來的？</t>
        </is>
      </c>
    </row>
    <row r="14" ht="32" customHeight="1" s="13">
      <c r="A14" s="17" t="inlineStr">
        <is>
          <t>面對方法漏洞時能不能說清楚</t>
        </is>
      </c>
      <c r="B14" s="17" t="inlineStr">
        <is>
          <t>你知道自己的設計有什麼限制嗎？</t>
        </is>
      </c>
    </row>
    <row r="15" ht="32" customHeight="1" s="13">
      <c r="A15" s="17" t="inlineStr">
        <is>
          <t>能不能處理教育現場的複雜情境</t>
        </is>
      </c>
      <c r="B15" s="17" t="inlineStr">
        <is>
          <t>現場沒有標準答案，你的反應方式是什麼？</t>
        </is>
      </c>
    </row>
    <row r="16" ht="32" customHeight="1" s="13">
      <c r="A16" s="17" t="inlineStr">
        <is>
          <t>遇到案例或政策題有沒有即時反應</t>
        </is>
      </c>
      <c r="B16" s="17" t="inlineStr">
        <is>
          <t>你能不能用專業拆解，而不是只表達關心？</t>
        </is>
      </c>
    </row>
    <row r="17" ht="32" customHeight="1" s="13">
      <c r="A17" s="17" t="inlineStr">
        <is>
          <t>面對盲點能不能承認限制並提出修正</t>
        </is>
      </c>
      <c r="B17" s="17" t="inlineStr">
        <is>
          <t>這一項的權重比多數人以為的高。</t>
        </is>
      </c>
    </row>
    <row r="18" ht="42" customHeight="1" s="13">
      <c r="A18" s="10" t="inlineStr">
        <is>
          <t>最後兩項測的不是知識量，是專業思考的方式。這五件事是整份工具的總結，檢核表第 1 區會再問一次。</t>
        </is>
      </c>
    </row>
    <row r="19" ht="40" customHeight="1" s="13"/>
    <row r="20" ht="24" customHeight="1" s="13">
      <c r="A20" s="2" t="inlineStr">
        <is>
          <t>教育類口試的兩個特色</t>
        </is>
      </c>
    </row>
    <row r="21" ht="26" customHeight="1" s="13">
      <c r="A21" s="21" t="inlineStr">
        <is>
          <t>特色</t>
        </is>
      </c>
      <c r="B21" s="21" t="inlineStr">
        <is>
          <t>代表什麼</t>
        </is>
      </c>
    </row>
    <row r="22" ht="69" customHeight="1" s="13">
      <c r="A22" s="17" t="inlineStr">
        <is>
          <t>題目常常來自現場，不是文本</t>
        </is>
      </c>
      <c r="B22" s="17" t="inlineStr">
        <is>
          <t>教授會拿一個具體情境問你「你會怎麼處理」。這類題目沒有標準答案，測的是專業理論的掌握、問題拆解、現場反應與反思。</t>
        </is>
      </c>
    </row>
    <row r="23" ht="48" customHeight="1" s="13">
      <c r="A23" s="17" t="inlineStr">
        <is>
          <t>心諮、特教等次領域可能有實作</t>
        </is>
      </c>
      <c r="B23" s="17" t="inlineStr">
        <is>
          <t>諮商實演、個案模擬、現場情境題。無法靠背稿應付，準備方式只有一種：提早找人練，練完要回顧。</t>
        </is>
      </c>
    </row>
    <row r="24" ht="32" customHeight="1" s="13">
      <c r="A24" s="24" t="inlineStr">
        <is>
          <t>結論很清楚：教育類群的口試準備，不能只讀自己的研究計畫。你還要能談你的次領域正在發生什麼事，以及你在現場看到什麼。</t>
        </is>
      </c>
    </row>
    <row r="25" ht="40" customHeight="1" s="13"/>
    <row r="26" ht="24" customHeight="1" s="13">
      <c r="A26" s="2" t="inlineStr">
        <is>
          <t>個案題最常見的失分回答</t>
        </is>
      </c>
    </row>
    <row r="27" ht="32" customHeight="1" s="13">
      <c r="A27" s="23" t="inlineStr">
        <is>
          <t>「我會很有耐心地陪伴他。」這句話不錯，但沒有任何專業內容。實務熱忱不能取代專業判斷。</t>
        </is>
      </c>
    </row>
    <row r="28" ht="40" customHeight="1" s="13"/>
    <row r="29" ht="53" customHeight="1" s="13">
      <c r="A29" s="24" t="inlineStr">
        <is>
          <t>個案題用六步流程拆：界定問題、蒐集資訊、套用專業理論、評估風險、提出介入方向、持續修正。
第 1 步與第 4 步不可跳過，太快進到「我會怎麼做」是這類題目最常見的失分點。</t>
        </is>
      </c>
    </row>
    <row r="30" ht="40" customHeight="1" s="13"/>
    <row r="31" ht="24" customHeight="1" s="13">
      <c r="A31" s="2" t="inlineStr">
        <is>
          <t>方法被質疑時，兩個極端都不行</t>
        </is>
      </c>
    </row>
    <row r="32" ht="32" customHeight="1" s="13">
      <c r="A32" s="24" t="inlineStr">
        <is>
          <t>重點不是硬說自己的方法完美，而是展現你知道自己在做什麼。</t>
        </is>
      </c>
    </row>
    <row r="33" ht="40" customHeight="1" s="13"/>
    <row r="34" ht="26" customHeight="1" s="13">
      <c r="A34" s="21" t="inlineStr">
        <is>
          <t>反應</t>
        </is>
      </c>
      <c r="B34" s="21" t="inlineStr">
        <is>
          <t>為什麼不行</t>
        </is>
      </c>
    </row>
    <row r="35" ht="32" customHeight="1" s="13">
      <c r="A35" s="17" t="inlineStr">
        <is>
          <t>立刻說「那我改成 20 位」</t>
        </is>
      </c>
      <c r="B35" s="17" t="inlineStr">
        <is>
          <t>顯示你原本的設計沒有理由。</t>
        </is>
      </c>
    </row>
    <row r="36" ht="32" customHeight="1" s="13">
      <c r="A36" s="17" t="inlineStr">
        <is>
          <t>堅持「5 位就是夠」</t>
        </is>
      </c>
      <c r="B36" s="17" t="inlineStr">
        <is>
          <t>顯示你聽不進意見。教授在測試你能不能被指導。</t>
        </is>
      </c>
    </row>
    <row r="37" ht="40" customHeight="1" s="13"/>
    <row r="38" ht="42" customHeight="1" s="13">
      <c r="A38" s="10" t="inlineStr">
        <is>
          <t>用五步框架：確認問題、說明原始設計、提出專業依據、承認限制、提出補強方式。</t>
        </is>
      </c>
    </row>
    <row r="39" ht="40" customHeight="1" s="13"/>
    <row r="40" ht="24" customHeight="1" s="13">
      <c r="A40" s="2" t="inlineStr">
        <is>
          <t>一定會被問到沒準備到的問題</t>
        </is>
      </c>
    </row>
    <row r="41" ht="32" customHeight="1" s="13">
      <c r="A41" s="23" t="inlineStr">
        <is>
          <t>而且教授通常是故意的。被評估的是反思能力，不是你知不知道答案。要避免硬掰、沉默、過度道歉。假裝什麼都知道，比誠實承認不知道扣分更多。</t>
        </is>
      </c>
    </row>
    <row r="42" ht="40" customHeight="1" s="13"/>
    <row r="43" ht="24" customHeight="1" s="13">
      <c r="A43" s="2" t="inlineStr">
        <is>
          <t>什麼時候用，可以用幾次</t>
        </is>
      </c>
    </row>
    <row r="44" ht="45" customHeight="1" s="13">
      <c r="A44" s="24" t="inlineStr">
        <is>
          <t>送件之後到口試前。第一次在送件後一週內打，那時候題庫會有一半是空的，那正是它的用途。之後每模擬一次口試就回來打一次，口試前三天打最後一次。</t>
        </is>
      </c>
    </row>
    <row r="45" ht="40" customHeight="1" s="13"/>
    <row r="46" ht="24" customHeight="1" s="13">
      <c r="A46" s="2" t="inlineStr">
        <is>
          <t>五個分頁的分工</t>
        </is>
      </c>
    </row>
    <row r="47" ht="26" customHeight="1" s="13">
      <c r="A47" s="21" t="inlineStr">
        <is>
          <t>分頁</t>
        </is>
      </c>
      <c r="B47" s="21" t="inlineStr">
        <is>
          <t>做什麼</t>
        </is>
      </c>
    </row>
    <row r="48" ht="46" customHeight="1" s="13">
      <c r="A48" s="17" t="inlineStr">
        <is>
          <t>先讀這裡</t>
        </is>
      </c>
      <c r="B48" s="17" t="inlineStr">
        <is>
          <t>你正在讀的這頁。教授在確認什麼、兩套框架、怎麼打勾、卡關怎麼辦。</t>
        </is>
      </c>
    </row>
    <row r="49" ht="48" customHeight="1" s="13">
      <c r="A49" s="17" t="inlineStr">
        <is>
          <t>題庫與素材</t>
        </is>
      </c>
      <c r="B49" s="17" t="inlineStr">
        <is>
          <t>要動手的地方。十九題各寫關鍵字並打兩個勾，再填政策題四段、方法答辯五步、個案題六步。</t>
        </is>
      </c>
    </row>
    <row r="50" ht="46" customHeight="1" s="13">
      <c r="A50" s="17" t="inlineStr">
        <is>
          <t>檢核表</t>
        </is>
      </c>
      <c r="B50" s="17" t="inlineStr">
        <is>
          <t>6 區共 33 項，逐項打勾。每一項旁邊都寫好了沒打勾的話下一步做什麼。</t>
        </is>
      </c>
    </row>
    <row r="51" ht="32" customHeight="1" s="13">
      <c r="A51" s="17" t="inlineStr">
        <is>
          <t>我到哪了</t>
        </is>
      </c>
      <c r="B51" s="17" t="inlineStr">
        <is>
          <t>打完之後看這頁。8 區完成度與還沒打勾的數量。</t>
        </is>
      </c>
    </row>
    <row r="52" ht="48" customHeight="1" s="13">
      <c r="A52" s="17" t="inlineStr">
        <is>
          <t>模擬追問紀錄</t>
        </is>
      </c>
      <c r="B52" s="17" t="inlineStr">
        <is>
          <t>每找人模擬一次就記一列。被問倒的地方就是接下來要補的，不用寫得漂亮。</t>
        </is>
      </c>
    </row>
    <row r="53" ht="40" customHeight="1" s="13"/>
    <row r="54" ht="24" customHeight="1" s="13">
      <c r="A54" s="2" t="inlineStr">
        <is>
          <t>四個步驟</t>
        </is>
      </c>
    </row>
    <row r="55" ht="26" customHeight="1" s="13">
      <c r="A55" s="21" t="inlineStr">
        <is>
          <t>步驟</t>
        </is>
      </c>
      <c r="B55" s="21" t="inlineStr">
        <is>
          <t>做什麼</t>
        </is>
      </c>
    </row>
    <row r="56" ht="48" customHeight="1" s="13">
      <c r="A56" s="17" t="inlineStr">
        <is>
          <t>第 1 步</t>
        </is>
      </c>
      <c r="B56" s="17" t="inlineStr">
        <is>
          <t>切到「題庫與素材」分頁，十九題先寫答案的關鍵字。寫得出來就勾「寫出答案」。</t>
        </is>
      </c>
    </row>
    <row r="57" ht="46" customHeight="1" s="13">
      <c r="A57" s="17" t="inlineStr">
        <is>
          <t>第 2 步</t>
        </is>
      </c>
      <c r="B57" s="17" t="inlineStr">
        <is>
          <t>填政策題四段、方法答辯五步、個案題六步。這三個是口說的骨架。</t>
        </is>
      </c>
    </row>
    <row r="58" ht="46" customHeight="1" s="13">
      <c r="A58" s="17" t="inlineStr">
        <is>
          <t>第 3 步</t>
        </is>
      </c>
      <c r="B58" s="17" t="inlineStr">
        <is>
          <t>對著人講一次，講得出來的題目勾「練過口說」。再切到「檢核表」6 區打勾。</t>
        </is>
      </c>
    </row>
    <row r="59" ht="46" customHeight="1" s="13">
      <c r="A59" s="17" t="inlineStr">
        <is>
          <t>第 4 步</t>
        </is>
      </c>
      <c r="B59" s="17" t="inlineStr">
        <is>
          <t>切到「我到哪了」看哪一區最短，回頭補沒打勾的那幾項。</t>
        </is>
      </c>
    </row>
    <row r="60" ht="40" customHeight="1" s="13"/>
    <row r="61" ht="24" customHeight="1" s="13">
      <c r="A61" s="2" t="inlineStr">
        <is>
          <t>八個區塊各在檢查什麼</t>
        </is>
      </c>
    </row>
    <row r="62" ht="26" customHeight="1" s="13">
      <c r="A62" s="21" t="inlineStr">
        <is>
          <t>區塊</t>
        </is>
      </c>
      <c r="B62" s="21" t="inlineStr">
        <is>
          <t>幾項</t>
        </is>
      </c>
      <c r="C62" s="21" t="inlineStr">
        <is>
          <t>在檢查什麼</t>
        </is>
      </c>
    </row>
    <row r="63" ht="46" customHeight="1" s="13">
      <c r="A63" s="17" t="inlineStr">
        <is>
          <t>題庫：寫出答案</t>
        </is>
      </c>
      <c r="B63" s="5" t="n">
        <v>19</v>
      </c>
      <c r="C63" s="17" t="inlineStr">
        <is>
          <t>四類追問十九題，寫得出答案了沒。</t>
        </is>
      </c>
    </row>
    <row r="64" ht="46" customHeight="1" s="13">
      <c r="A64" s="17" t="inlineStr">
        <is>
          <t>題庫：練過口說</t>
        </is>
      </c>
      <c r="B64" s="5" t="n">
        <v>19</v>
      </c>
      <c r="C64" s="17" t="inlineStr">
        <is>
          <t>同樣十九題，對著人講得出來了沒。</t>
        </is>
      </c>
    </row>
    <row r="65" ht="46" customHeight="1" s="13">
      <c r="A65" s="17" t="inlineStr">
        <is>
          <t>教授在確認的五件事</t>
        </is>
      </c>
      <c r="B65" s="5" t="n">
        <v>5</v>
      </c>
      <c r="C65" s="17" t="inlineStr">
        <is>
          <t>總結。其他區做完再回來打這一區。</t>
        </is>
      </c>
    </row>
    <row r="66" ht="48" customHeight="1" s="13">
      <c r="A66" s="17" t="inlineStr">
        <is>
          <t>答題原則</t>
        </is>
      </c>
      <c r="B66" s="5" t="n">
        <v>4</v>
      </c>
      <c r="C66" s="17" t="inlineStr">
        <is>
          <t>方法題的兩個極端、個案題的兩個原則，有沒有避開。</t>
        </is>
      </c>
    </row>
    <row r="67" ht="32" customHeight="1" s="13">
      <c r="A67" s="17" t="inlineStr">
        <is>
          <t>被問到沒準備到的問題</t>
        </is>
      </c>
      <c r="B67" s="5" t="n">
        <v>5</v>
      </c>
      <c r="C67" s="17" t="inlineStr">
        <is>
          <t>固定的回應順序練過了沒。</t>
        </is>
      </c>
    </row>
    <row r="68" ht="46" customHeight="1" s="13">
      <c r="A68" s="17" t="inlineStr">
        <is>
          <t>上場前檢核</t>
        </is>
      </c>
      <c r="B68" s="5" t="n">
        <v>9</v>
      </c>
      <c r="C68" s="17" t="inlineStr">
        <is>
          <t>最後那道閘門。這九項沒到就還不能上場。</t>
        </is>
      </c>
    </row>
    <row r="69" ht="46" customHeight="1" s="13">
      <c r="A69" s="17" t="inlineStr">
        <is>
          <t>行政準備</t>
        </is>
      </c>
      <c r="B69" s="5" t="n">
        <v>4</v>
      </c>
      <c r="C69" s="17" t="inlineStr">
        <is>
          <t>時間地點、簡報份數、備審重讀、服裝。</t>
        </is>
      </c>
    </row>
    <row r="70" ht="48" customHeight="1" s="13">
      <c r="A70" s="17" t="inlineStr">
        <is>
          <t>常見失分點</t>
        </is>
      </c>
      <c r="B70" s="5" t="n">
        <v>6</v>
      </c>
      <c r="C70" s="17" t="inlineStr">
        <is>
          <t>有沒有踩到最常見的六個失分回答。</t>
        </is>
      </c>
    </row>
    <row r="71" ht="40" customHeight="1" s="13"/>
    <row r="72" ht="24" customHeight="1" s="13">
      <c r="A72" s="2" t="inlineStr">
        <is>
          <t>什麼情況才算 ✓</t>
        </is>
      </c>
    </row>
    <row r="73" ht="32" customHeight="1" s="13">
      <c r="A73" s="24" t="inlineStr">
        <is>
          <t>打勾之前先問自己一句：如果現在有人要我當場講，我講得出來嗎。講得出來才算 ✓，覺得「應該會吧」不算。</t>
        </is>
      </c>
    </row>
    <row r="74" ht="32" customHeight="1" s="13">
      <c r="A74" s="23" t="inlineStr">
        <is>
          <t>這張表只有你自己會看。寬鬆給分唯一的效果，是讓你在口試現場才發現缺口。留白不是失敗，留白就是你接下來的工作清單。</t>
        </is>
      </c>
    </row>
    <row r="75" ht="42" customHeight="1" s="13">
      <c r="A75" s="10" t="inlineStr">
        <is>
          <t>「答題原則」與「常見失分點」兩區的語意是相反的：✓ 代表「我確認自己不會這樣答」。表頭上有標。</t>
        </is>
      </c>
    </row>
    <row r="76" ht="40" customHeight="1" s="13"/>
    <row r="77" ht="24" customHeight="1" s="13">
      <c r="A77" s="2" t="inlineStr">
        <is>
          <t>結果怎麼看</t>
        </is>
      </c>
    </row>
    <row r="78" ht="26" customHeight="1" s="13">
      <c r="A78" s="21" t="inlineStr">
        <is>
          <t>你看到的</t>
        </is>
      </c>
      <c r="B78" s="21" t="inlineStr">
        <is>
          <t>代表什麼</t>
        </is>
      </c>
      <c r="C78" s="21" t="inlineStr">
        <is>
          <t>接下來</t>
        </is>
      </c>
    </row>
    <row r="79" ht="67" customHeight="1" s="13">
      <c r="A79" s="17" t="inlineStr">
        <is>
          <t>幾乎全空</t>
        </is>
      </c>
      <c r="B79" s="17" t="inlineStr">
        <is>
          <t>這不是壞消息，這是你現在的起點。</t>
        </is>
      </c>
      <c r="C79" s="17" t="inlineStr">
        <is>
          <t>從「上場前檢核」那九項往回推，一項對應一件要做的事。</t>
        </is>
      </c>
    </row>
    <row r="80" ht="67" customHeight="1" s="13">
      <c r="A80" s="17" t="inlineStr">
        <is>
          <t>寫出答案滿了，練過口說很空</t>
        </is>
      </c>
      <c r="B80" s="17" t="inlineStr">
        <is>
          <t>你想通了，但還沒講過。</t>
        </is>
      </c>
      <c r="C80" s="17" t="inlineStr">
        <is>
          <t>找同學或老師，把十九題講一遍。個案題一定要用六步流程講，不要只講結論。</t>
        </is>
      </c>
    </row>
    <row r="81" ht="67" customHeight="1" s="13">
      <c r="A81" s="17" t="inlineStr">
        <is>
          <t>研究方法那六題空著</t>
        </is>
      </c>
      <c r="B81" s="17" t="inlineStr">
        <is>
          <t>口試最常見的攻擊面沒有防守。</t>
        </is>
      </c>
      <c r="C81" s="17" t="inlineStr">
        <is>
          <t>先回去確認研究對象的管道與同意流程，那兩題答不出來，其他四題也撐不住。</t>
        </is>
      </c>
    </row>
    <row r="82" ht="67" customHeight="1" s="13">
      <c r="A82" s="17" t="inlineStr">
        <is>
          <t>政策題與個案題空著</t>
        </is>
      </c>
      <c r="B82" s="17" t="inlineStr">
        <is>
          <t>你只準備了自己的計畫，沒準備現場。</t>
        </is>
      </c>
      <c r="C82" s="17" t="inlineStr">
        <is>
          <t>挑三到五個次領域的近年議題，各用四段講一次；練至少三題個案。</t>
        </is>
      </c>
    </row>
    <row r="83" ht="44" customHeight="1" s="13">
      <c r="A83" s="17" t="inlineStr">
        <is>
          <t>上場前檢核沒滿</t>
        </is>
      </c>
      <c r="B83" s="17" t="inlineStr">
        <is>
          <t>還不能上場。</t>
        </is>
      </c>
      <c r="C83" s="17" t="inlineStr">
        <is>
          <t>先補那九項，其他區暫時放著。</t>
        </is>
      </c>
    </row>
    <row r="84" ht="67" customHeight="1" s="13">
      <c r="A84" s="17" t="inlineStr">
        <is>
          <t>71 項全滿</t>
        </is>
      </c>
      <c r="B84" s="17" t="inlineStr">
        <is>
          <t>準備到位了。</t>
        </is>
      </c>
      <c r="C84" s="17" t="inlineStr">
        <is>
          <t>口試前三天再對著人講一次一分鐘版本，計時。</t>
        </is>
      </c>
    </row>
    <row r="85" ht="40" customHeight="1" s="13"/>
    <row r="86" ht="24" customHeight="1" s="13">
      <c r="A86" s="2" t="inlineStr">
        <is>
          <t>沒打勾的，去哪裡補</t>
        </is>
      </c>
    </row>
    <row r="87" ht="26" customHeight="1" s="13">
      <c r="A87" s="21" t="inlineStr">
        <is>
          <t>缺的是</t>
        </is>
      </c>
      <c r="B87" s="21" t="inlineStr">
        <is>
          <t>去哪裡補</t>
        </is>
      </c>
      <c r="C87" s="21" t="inlineStr">
        <is>
          <t>要補成什麼樣子</t>
        </is>
      </c>
    </row>
    <row r="88" ht="67" customHeight="1" s="13">
      <c r="A88" s="17" t="inlineStr">
        <is>
          <t>某一題寫不出答案</t>
        </is>
      </c>
      <c r="B88" s="17" t="inlineStr">
        <is>
          <t>回研究計畫本身</t>
        </is>
      </c>
      <c r="C88" s="17" t="inlineStr">
        <is>
          <t>那題就是你目前最大的風險。先想通，再寫關鍵字，不要硬背。</t>
        </is>
      </c>
    </row>
    <row r="89" ht="67" customHeight="1" s="13">
      <c r="A89" s="17" t="inlineStr">
        <is>
          <t>方法選擇說不出理由</t>
        </is>
      </c>
      <c r="B89" s="17" t="inlineStr">
        <is>
          <t>方法答辯五步框架</t>
        </is>
      </c>
      <c r="C89" s="17" t="inlineStr">
        <is>
          <t>「我這樣設計是因為什麼，這個方法取向追求的是什麼而不是什麼」。</t>
        </is>
      </c>
    </row>
    <row r="90" ht="67" customHeight="1" s="13">
      <c r="A90" s="17" t="inlineStr">
        <is>
          <t>研究對象沒有著落</t>
        </is>
      </c>
      <c r="B90" s="17" t="inlineStr">
        <is>
          <t>研究計畫</t>
        </is>
      </c>
      <c r="C90" s="17" t="inlineStr">
        <is>
          <t>管道、同意流程、學校會不會同意、未成年的保密怎麼處理。四件都要答得出來。</t>
        </is>
      </c>
    </row>
    <row r="91" ht="67" customHeight="1" s="13">
      <c r="A91" s="17" t="inlineStr">
        <is>
          <t>政策題只有立場</t>
        </is>
      </c>
      <c r="B91" s="17" t="inlineStr">
        <is>
          <t>政策題四段練習</t>
        </is>
      </c>
      <c r="C91" s="17" t="inlineStr">
        <is>
          <t>政策目標、現場條件、落差、可能的調整。最後要連回自己的研究問題。</t>
        </is>
      </c>
    </row>
    <row r="92" ht="67" customHeight="1" s="13">
      <c r="A92" s="17" t="inlineStr">
        <is>
          <t>個案題只有耐心</t>
        </is>
      </c>
      <c r="B92" s="17" t="inlineStr">
        <is>
          <t>個案題六步流程</t>
        </is>
      </c>
      <c r="C92" s="17" t="inlineStr">
        <is>
          <t>先界定問題與評估風險，再講介入。用專業理論拆，不用「我會陪他」。</t>
        </is>
      </c>
    </row>
    <row r="93" ht="67" customHeight="1" s="13">
      <c r="A93" s="17" t="inlineStr">
        <is>
          <t>被問不會的就慌</t>
        </is>
      </c>
      <c r="B93" s="17" t="inlineStr">
        <is>
          <t>被問到沒準備到的問題</t>
        </is>
      </c>
      <c r="C93" s="17" t="inlineStr">
        <is>
          <t>確認邏輯、誠實說限制、推能推的部分、給補救方向。練到有固定順序。</t>
        </is>
      </c>
    </row>
    <row r="94" ht="67" customHeight="1" s="13">
      <c r="A94" s="17" t="inlineStr">
        <is>
          <t>心諮特教實演沒練</t>
        </is>
      </c>
      <c r="B94" s="17" t="inlineStr">
        <is>
          <t>找同學輪流扮演個案</t>
        </is>
      </c>
      <c r="C94" s="17" t="inlineStr">
        <is>
          <t>每次不同情境，練完回顧三件事：漏問了什麼、有沒有太早給建議、怎麼判斷風險。</t>
        </is>
      </c>
    </row>
    <row r="95" ht="67" customHeight="1" s="13">
      <c r="A95" s="17" t="inlineStr">
        <is>
          <t>最近在現場看到什麼答不出</t>
        </is>
      </c>
      <c r="B95" s="17" t="inlineStr">
        <is>
          <t>回你的現場</t>
        </is>
      </c>
      <c r="C95" s="17" t="inlineStr">
        <is>
          <t>至少一個你還在想的問題。這一題測的是你有沒有持續在現場。</t>
        </is>
      </c>
    </row>
    <row r="96" ht="42" customHeight="1" s="13">
      <c r="A96" s="10" t="inlineStr">
        <is>
          <t>要寫成完整答案的部分寫在你自己的筆記裡，這裡只負責告訴你缺什麼。</t>
        </is>
      </c>
    </row>
    <row r="97" ht="40" customHeight="1" s="13"/>
    <row r="98" ht="24" customHeight="1" s="13">
      <c r="A98" s="2" t="inlineStr">
        <is>
          <t>卡關時</t>
        </is>
      </c>
    </row>
    <row r="99" ht="26" customHeight="1" s="13">
      <c r="A99" s="21" t="inlineStr">
        <is>
          <t>狀況</t>
        </is>
      </c>
      <c r="B99" s="21" t="inlineStr">
        <is>
          <t>怎麼辦</t>
        </is>
      </c>
    </row>
    <row r="100" ht="114" customHeight="1" s="13">
      <c r="A100" s="17" t="inlineStr">
        <is>
          <t>心諮或特教口試的實演，可以事先練嗎</t>
        </is>
      </c>
      <c r="B100" s="17" t="inlineStr">
        <is>
          <t>可以，而且應該練，但不要背一套標準流程照唸。實演要看的是你能不能在資訊不足的情況下先蒐集資訊、辨識風險、選擇適當的回應。找同學輪流扮演個案，每次不同情境，練五次以上你會發現自己的固定盲點。</t>
        </is>
      </c>
    </row>
    <row r="101" ht="114" customHeight="1" s="13">
      <c r="A101" s="17" t="inlineStr">
        <is>
          <t>被問到完全沒讀過的教育政策</t>
        </is>
      </c>
      <c r="B101" s="17" t="inlineStr">
        <is>
          <t>誠實說不熟，但不要停在那裡。先確認教授問的是政策的哪一面，再說明你能從什麼角度理解它，例如從你在現場看到的狀況推測。教授對大學生的政策掌握度期待有限，但對「知不知道怎麼查、怎麼想」的期待很高。</t>
        </is>
      </c>
    </row>
    <row r="102" ht="91" customHeight="1" s="13">
      <c r="A102" s="17" t="inlineStr">
        <is>
          <t>當場被說「這題目做不完」，該堅持還是改</t>
        </is>
      </c>
      <c r="B102" s="17" t="inlineStr">
        <is>
          <t>兩者都不是。先確認他認為做不完的原因：對象取得困難、資料量太大，還是問題本身太發散？確認之後說明原本的設計考量，再明確表達你願意收斂的方向。當場全盤放棄和死不修改，都會被扣分。</t>
        </is>
      </c>
    </row>
    <row r="103" ht="69" customHeight="1" s="13">
      <c r="A103" s="17" t="inlineStr">
        <is>
          <t>「只訪談 5 位夠嗎」怎麼答</t>
        </is>
      </c>
      <c r="B103" s="17" t="inlineStr">
        <is>
          <t>不要說改成 20 位，也不要說夠。先確認老師在意的是代表性還是深度，再說明質性取向追求的是什麼，承認結論適用的範圍，最後提補強方式。</t>
        </is>
      </c>
    </row>
    <row r="104" ht="69" customHeight="1" s="13">
      <c r="A104" s="17" t="inlineStr">
        <is>
          <t>研究動機只想得到熱忱</t>
        </is>
      </c>
      <c r="B104" s="17" t="inlineStr">
        <is>
          <t>回到具體事件。哪一個現場、哪一次觀察、哪一個重複出現的問題讓你開始追問。說不出事件，動機就只是熱忱。</t>
        </is>
      </c>
    </row>
    <row r="105" ht="48" customHeight="1" s="13">
      <c r="A105" s="17" t="inlineStr">
        <is>
          <t>兩次打出來的數字一樣</t>
        </is>
      </c>
      <c r="B105" s="17" t="inlineStr">
        <is>
          <t>檢查一下是不是這段時間都在讀計畫、沒有找人練。讀得再熟，沒講過的題目還是空的。</t>
        </is>
      </c>
    </row>
    <row r="106" ht="40" customHeight="1" s="13"/>
    <row r="107" ht="40" customHeight="1" s="13">
      <c r="A107" s="6" t="n"/>
      <c r="B107" s="6" t="n"/>
      <c r="C107" s="6" t="n"/>
      <c r="D107" s="6" t="n"/>
      <c r="E107" s="6" t="n"/>
      <c r="F107" s="6" t="n"/>
    </row>
    <row r="108" ht="14" customHeight="1" s="13">
      <c r="A108" s="6" t="n"/>
      <c r="B108" s="6" t="n"/>
      <c r="C108" s="6" t="n"/>
      <c r="D108" s="6" t="n"/>
      <c r="E108" s="6" t="n"/>
      <c r="F108" s="6" t="n"/>
    </row>
    <row r="109" ht="28" customHeight="1" s="13">
      <c r="A109" s="7" t="inlineStr">
        <is>
          <t># 搭配文章：教育研究所口試：政策題、個案題與方法答辯怎麼準備　https://tbd-edu.com/pages/resources/education-graduate-oral.html</t>
        </is>
      </c>
      <c r="B109" s="6" t="n"/>
      <c r="C109" s="6" t="n"/>
      <c r="D109" s="6" t="n"/>
      <c r="E109" s="6" t="n"/>
      <c r="F109" s="6" t="n"/>
    </row>
    <row r="110" ht="28" customHeight="1" s="13">
      <c r="A110" s="7" t="inlineStr">
        <is>
          <t># TBD Studio ｜ https://tbd-edu.com/</t>
        </is>
      </c>
      <c r="B110" s="6" t="n"/>
      <c r="C110" s="6" t="n"/>
      <c r="D110" s="6" t="n"/>
      <c r="E110" s="6" t="n"/>
      <c r="F110" s="6" t="n"/>
    </row>
  </sheetData>
  <mergeCells count="14">
    <mergeCell ref="A24:F24"/>
    <mergeCell ref="A2:F2"/>
    <mergeCell ref="A11:F11"/>
    <mergeCell ref="A38:F38"/>
    <mergeCell ref="A73:F73"/>
    <mergeCell ref="A41:F41"/>
    <mergeCell ref="A44:F44"/>
    <mergeCell ref="A75:F75"/>
    <mergeCell ref="A32:F32"/>
    <mergeCell ref="A27:F27"/>
    <mergeCell ref="A74:F74"/>
    <mergeCell ref="A18:F18"/>
    <mergeCell ref="A96:F96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zoomScale="75" workbookViewId="0">
      <pane ySplit="2" topLeftCell="A51" activePane="bottomLeft" state="frozen"/>
      <selection pane="bottomLeft" activeCell="B58" sqref="B58"/>
    </sheetView>
  </sheetViews>
  <sheetFormatPr baseColWidth="10" defaultColWidth="9" defaultRowHeight="14"/>
  <cols>
    <col width="24.3984375" customWidth="1" style="13" min="1" max="1"/>
    <col width="83" customWidth="1" style="13" min="2" max="2"/>
    <col width="39.59765625" customWidth="1" style="13" min="3" max="4"/>
    <col width="18.19921875" customWidth="1" style="13" min="5" max="6"/>
  </cols>
  <sheetData>
    <row r="1" ht="30" customHeight="1" s="13">
      <c r="A1" s="1" t="inlineStr">
        <is>
          <t>教育｜口試自我檢核表　v1</t>
        </is>
      </c>
    </row>
    <row r="2" ht="28" customHeight="1" s="13">
      <c r="A2" s="22" t="inlineStr">
        <is>
          <t>先寫答案，再練口說。每題兩個勾：寫出答案了、練過口說了。判準見「先讀這裡」分頁。淡黃色的儲存格是要你填或勾的，其餘是給你讀的。</t>
        </is>
      </c>
    </row>
    <row r="3" ht="40" customHeight="1" s="13"/>
    <row r="4" ht="24" customHeight="1" s="13">
      <c r="A4" s="2" t="inlineStr">
        <is>
          <t>一、四類追問題庫（19 題）</t>
        </is>
      </c>
    </row>
    <row r="5" ht="26" customHeight="1" s="13">
      <c r="A5" s="21" t="inlineStr">
        <is>
          <t>類別</t>
        </is>
      </c>
      <c r="B5" s="21" t="inlineStr">
        <is>
          <t>題目</t>
        </is>
      </c>
      <c r="C5" s="21" t="inlineStr">
        <is>
          <t>我的內容</t>
        </is>
      </c>
      <c r="D5" s="18" t="n"/>
      <c r="E5" s="21" t="inlineStr">
        <is>
          <t>寫出答案</t>
        </is>
      </c>
      <c r="F5" s="21" t="inlineStr">
        <is>
          <t>練過口說</t>
        </is>
      </c>
    </row>
    <row r="6" ht="41" customHeight="1" s="13">
      <c r="A6" s="17" t="inlineStr">
        <is>
          <t>研究計畫本身</t>
        </is>
      </c>
      <c r="B6" s="17" t="inlineStr">
        <is>
          <t>請用一分鐘說明你的研究計畫。</t>
        </is>
      </c>
      <c r="C6" s="19" t="n"/>
      <c r="D6" s="18" t="n"/>
      <c r="E6" s="19" t="n"/>
      <c r="F6" s="19" t="n"/>
    </row>
    <row r="7" ht="41" customHeight="1" s="13">
      <c r="A7" s="17" t="inlineStr">
        <is>
          <t>研究計畫本身</t>
        </is>
      </c>
      <c r="B7" s="17" t="inlineStr">
        <is>
          <t>你的研究問題是怎麼來的？</t>
        </is>
      </c>
      <c r="C7" s="19" t="n"/>
      <c r="D7" s="18" t="n"/>
      <c r="E7" s="19" t="n"/>
      <c r="F7" s="19" t="n"/>
    </row>
    <row r="8" ht="41" customHeight="1" s="13">
      <c r="A8" s="17" t="inlineStr">
        <is>
          <t>研究計畫本身</t>
        </is>
      </c>
      <c r="B8" s="17" t="inlineStr">
        <is>
          <t>為什麼這個問題值得研究？</t>
        </is>
      </c>
      <c r="C8" s="19" t="n"/>
      <c r="D8" s="18" t="n"/>
      <c r="E8" s="19" t="n"/>
      <c r="F8" s="19" t="n"/>
    </row>
    <row r="9" ht="41" customHeight="1" s="13">
      <c r="A9" s="17" t="inlineStr">
        <is>
          <t>研究計畫本身</t>
        </is>
      </c>
      <c r="B9" s="17" t="inlineStr">
        <is>
          <t>前人已經做過什麼？你補的是哪一塊？</t>
        </is>
      </c>
      <c r="C9" s="19" t="n"/>
      <c r="D9" s="18" t="n"/>
      <c r="E9" s="19" t="n"/>
      <c r="F9" s="19" t="n"/>
    </row>
    <row r="10" ht="41" customHeight="1" s="13">
      <c r="A10" s="17" t="inlineStr">
        <is>
          <t>研究計畫本身</t>
        </is>
      </c>
      <c r="B10" s="17" t="inlineStr">
        <is>
          <t>你預期會看到什麼結果？如果結果相反呢？</t>
        </is>
      </c>
      <c r="C10" s="19" t="n"/>
      <c r="D10" s="18" t="n"/>
      <c r="E10" s="19" t="n"/>
      <c r="F10" s="19" t="n"/>
    </row>
    <row r="11" ht="41" customHeight="1" s="13">
      <c r="A11" s="17" t="inlineStr">
        <is>
          <t>研究方法</t>
        </is>
      </c>
      <c r="B11" s="17" t="inlineStr">
        <is>
          <t>只訪談 5 位老師夠嗎？</t>
        </is>
      </c>
      <c r="C11" s="19" t="n"/>
      <c r="D11" s="18" t="n"/>
      <c r="E11" s="19" t="n"/>
      <c r="F11" s="19" t="n"/>
    </row>
    <row r="12" ht="41" customHeight="1" s="13">
      <c r="A12" s="17" t="inlineStr">
        <is>
          <t>研究方法</t>
        </is>
      </c>
      <c r="B12" s="17" t="inlineStr">
        <is>
          <t>你怎麼選研究對象？為什麼是這幾位？</t>
        </is>
      </c>
      <c r="C12" s="19" t="n"/>
      <c r="D12" s="18" t="n"/>
      <c r="E12" s="19" t="n"/>
      <c r="F12" s="19" t="n"/>
    </row>
    <row r="13" ht="41" customHeight="1" s="13">
      <c r="A13" s="17" t="inlineStr">
        <is>
          <t>研究方法</t>
        </is>
      </c>
      <c r="B13" s="17" t="inlineStr">
        <is>
          <t>這個方法真的能回答你的問題嗎？</t>
        </is>
      </c>
      <c r="C13" s="19" t="n"/>
      <c r="D13" s="18" t="n"/>
      <c r="E13" s="19" t="n"/>
      <c r="F13" s="19" t="n"/>
    </row>
    <row r="14" ht="41" customHeight="1" s="13">
      <c r="A14" s="17" t="inlineStr">
        <is>
          <t>研究方法</t>
        </is>
      </c>
      <c r="B14" s="17" t="inlineStr">
        <is>
          <t>研究對象你打算怎麼取得？學校會同意嗎？</t>
        </is>
      </c>
      <c r="C14" s="19" t="n"/>
      <c r="D14" s="18" t="n"/>
      <c r="E14" s="19" t="n"/>
      <c r="F14" s="19" t="n"/>
    </row>
    <row r="15" ht="41" customHeight="1" s="13">
      <c r="A15" s="17" t="inlineStr">
        <is>
          <t>研究方法</t>
        </is>
      </c>
      <c r="B15" s="17" t="inlineStr">
        <is>
          <t>涉及未成年學生或個案，你怎麼處理同意與保密？</t>
        </is>
      </c>
      <c r="C15" s="19" t="n"/>
      <c r="D15" s="18" t="n"/>
      <c r="E15" s="19" t="n"/>
      <c r="F15" s="19" t="n"/>
    </row>
    <row r="16" ht="41" customHeight="1" s="13">
      <c r="A16" s="17" t="inlineStr">
        <is>
          <t>研究方法</t>
        </is>
      </c>
      <c r="B16" s="17" t="inlineStr">
        <is>
          <t>這個規模在碩士兩年做得完嗎？</t>
        </is>
      </c>
      <c r="C16" s="19" t="n"/>
      <c r="D16" s="18" t="n"/>
      <c r="E16" s="19" t="n"/>
      <c r="F16" s="19" t="n"/>
    </row>
    <row r="17" ht="41" customHeight="1" s="13">
      <c r="A17" s="17" t="inlineStr">
        <is>
          <t>政策與時事</t>
        </is>
      </c>
      <c r="B17" s="17" t="inlineStr">
        <is>
          <t>你怎麼看某項教育政策在現場的執行落差？</t>
        </is>
      </c>
      <c r="C17" s="19" t="n"/>
      <c r="D17" s="18" t="n"/>
      <c r="E17" s="19" t="n"/>
      <c r="F17" s="19" t="n"/>
    </row>
    <row r="18" ht="41" customHeight="1" s="13">
      <c r="A18" s="17" t="inlineStr">
        <is>
          <t>政策與時事</t>
        </is>
      </c>
      <c r="B18" s="17" t="inlineStr">
        <is>
          <t>這項政策對你關注的那群學生有什麼影響？</t>
        </is>
      </c>
      <c r="C18" s="19" t="n"/>
      <c r="D18" s="18" t="n"/>
      <c r="E18" s="19" t="n"/>
      <c r="F18" s="19" t="n"/>
    </row>
    <row r="19" ht="41" customHeight="1" s="13">
      <c r="A19" s="17" t="inlineStr">
        <is>
          <t>政策與時事</t>
        </is>
      </c>
      <c r="B19" s="17" t="inlineStr">
        <is>
          <t>如果你是決策者，你會怎麼調整？</t>
        </is>
      </c>
      <c r="C19" s="19" t="n"/>
      <c r="D19" s="18" t="n"/>
      <c r="E19" s="19" t="n"/>
      <c r="F19" s="19" t="n"/>
    </row>
    <row r="20" ht="41" customHeight="1" s="13">
      <c r="A20" s="17" t="inlineStr">
        <is>
          <t>政策與時事</t>
        </is>
      </c>
      <c r="B20" s="17" t="inlineStr">
        <is>
          <t>你認為現場老師最大的困難是什麼？</t>
        </is>
      </c>
      <c r="C20" s="19" t="n"/>
      <c r="D20" s="18" t="n"/>
      <c r="E20" s="19" t="n"/>
      <c r="F20" s="19" t="n"/>
    </row>
    <row r="21" ht="41" customHeight="1" s="13">
      <c r="A21" s="17" t="inlineStr">
        <is>
          <t>個案與情境</t>
        </is>
      </c>
      <c r="B21" s="17" t="inlineStr">
        <is>
          <t>班上有學生長期不交作業但每天到校，你會怎麼理解與處理？</t>
        </is>
      </c>
      <c r="C21" s="19" t="n"/>
      <c r="D21" s="18" t="n"/>
      <c r="E21" s="19" t="n"/>
      <c r="F21" s="19" t="n"/>
    </row>
    <row r="22" ht="41" customHeight="1" s="13">
      <c r="A22" s="17" t="inlineStr">
        <is>
          <t>個案與情境</t>
        </is>
      </c>
      <c r="B22" s="17" t="inlineStr">
        <is>
          <t>家長不同意孩子接受特教鑑定，你怎麼看？</t>
        </is>
      </c>
      <c r="C22" s="19" t="n"/>
      <c r="D22" s="18" t="n"/>
      <c r="E22" s="19" t="n"/>
      <c r="F22" s="19" t="n"/>
    </row>
    <row r="23" ht="41" customHeight="1" s="13">
      <c r="A23" s="17" t="inlineStr">
        <is>
          <t>個案與情境</t>
        </is>
      </c>
      <c r="B23" s="17" t="inlineStr">
        <is>
          <t>個案在晤談中表達強烈負面情緒，你的第一步是什麼？</t>
        </is>
      </c>
      <c r="C23" s="19" t="n"/>
      <c r="D23" s="18" t="n"/>
      <c r="E23" s="19" t="n"/>
      <c r="F23" s="19" t="n"/>
    </row>
    <row r="24" ht="41" customHeight="1" s="13">
      <c r="A24" s="17" t="inlineStr">
        <is>
          <t>個案與情境</t>
        </is>
      </c>
      <c r="B24" s="17" t="inlineStr">
        <is>
          <t>你的研究對象中途退出，你怎麼辦？</t>
        </is>
      </c>
      <c r="C24" s="19" t="n"/>
      <c r="D24" s="18" t="n"/>
      <c r="E24" s="19" t="n"/>
      <c r="F24" s="19" t="n"/>
    </row>
    <row r="25" ht="42" customHeight="1" s="13">
      <c r="A25" s="10" t="inlineStr">
        <is>
          <t>第一類是主場，最不該失分。第二類是教育所口試最常見的攻擊面。第三、四類沒有標準答案，測的是專業拆解與現場反應。</t>
        </is>
      </c>
    </row>
    <row r="26" ht="40" customHeight="1" s="13"/>
    <row r="27" ht="24" customHeight="1" s="13">
      <c r="A27" s="2" t="inlineStr">
        <is>
          <t>二、政策題四段練習（挑三到五個次領域的近年議題）</t>
        </is>
      </c>
    </row>
    <row r="28" ht="26" customHeight="1" s="13">
      <c r="A28" s="21" t="inlineStr">
        <is>
          <t>議題</t>
        </is>
      </c>
      <c r="B28" s="21" t="inlineStr">
        <is>
          <t>政策目標</t>
        </is>
      </c>
      <c r="C28" s="21" t="inlineStr">
        <is>
          <t>現場條件</t>
        </is>
      </c>
      <c r="D28" s="21" t="inlineStr">
        <is>
          <t>落差</t>
        </is>
      </c>
      <c r="E28" s="21" t="inlineStr">
        <is>
          <t>可能的調整</t>
        </is>
      </c>
      <c r="F28" s="18" t="n"/>
    </row>
    <row r="29" ht="67" customHeight="1" s="13">
      <c r="A29" s="19" t="n"/>
      <c r="B29" s="19" t="n"/>
      <c r="C29" s="19" t="n"/>
      <c r="D29" s="19" t="n"/>
      <c r="E29" s="19" t="n"/>
      <c r="F29" s="18" t="n"/>
    </row>
    <row r="30" ht="67" customHeight="1" s="13">
      <c r="A30" s="19" t="n"/>
      <c r="B30" s="19" t="n"/>
      <c r="C30" s="19" t="n"/>
      <c r="D30" s="19" t="n"/>
      <c r="E30" s="19" t="n"/>
      <c r="F30" s="18" t="n"/>
    </row>
    <row r="31" ht="67" customHeight="1" s="13">
      <c r="A31" s="19" t="n"/>
      <c r="B31" s="19" t="n"/>
      <c r="C31" s="19" t="n"/>
      <c r="D31" s="19" t="n"/>
      <c r="E31" s="19" t="n"/>
      <c r="F31" s="18" t="n"/>
    </row>
    <row r="32" ht="67" customHeight="1" s="13">
      <c r="A32" s="19" t="n"/>
      <c r="B32" s="19" t="n"/>
      <c r="C32" s="19" t="n"/>
      <c r="D32" s="19" t="n"/>
      <c r="E32" s="19" t="n"/>
      <c r="F32" s="18" t="n"/>
    </row>
    <row r="33" ht="42" customHeight="1" s="13">
      <c r="A33" s="10" t="inlineStr">
        <is>
          <t>準備方式不是背條文，是練這個四段結構。它套用在多數政策題上都成立，最後一段要連回自己的研究問題。</t>
        </is>
      </c>
    </row>
    <row r="34" ht="40" customHeight="1" s="13"/>
    <row r="35" ht="24" customHeight="1" s="13">
      <c r="A35" s="2" t="inlineStr">
        <is>
          <t>三、方法答辯五步框架</t>
        </is>
      </c>
    </row>
    <row r="36" ht="26" customHeight="1" s="13">
      <c r="A36" s="21" t="inlineStr">
        <is>
          <t>步驟</t>
        </is>
      </c>
      <c r="B36" s="21" t="inlineStr">
        <is>
          <t>句型</t>
        </is>
      </c>
      <c r="C36" s="21" t="inlineStr">
        <is>
          <t>我的內容</t>
        </is>
      </c>
      <c r="D36" s="20" t="n"/>
      <c r="E36" s="20" t="n"/>
      <c r="F36" s="18" t="n"/>
    </row>
    <row r="37" ht="42" customHeight="1" s="13">
      <c r="A37" s="17" t="inlineStr">
        <is>
          <t>1 確認問題</t>
        </is>
      </c>
      <c r="B37" s="17" t="inlineStr">
        <is>
          <t>「老師的意思是＿＿，還是＿＿？」</t>
        </is>
      </c>
      <c r="C37" s="19" t="n"/>
      <c r="D37" s="20" t="n"/>
      <c r="E37" s="20" t="n"/>
      <c r="F37" s="18" t="n"/>
    </row>
    <row r="38" ht="42" customHeight="1" s="13">
      <c r="A38" s="17" t="inlineStr">
        <is>
          <t>2 說明原始設計</t>
        </is>
      </c>
      <c r="B38" s="17" t="inlineStr">
        <is>
          <t>「我這樣設計是因為什麼。」</t>
        </is>
      </c>
      <c r="C38" s="19" t="n"/>
      <c r="D38" s="20" t="n"/>
      <c r="E38" s="20" t="n"/>
      <c r="F38" s="18" t="n"/>
    </row>
    <row r="39" ht="42" customHeight="1" s="13">
      <c r="A39" s="17" t="inlineStr">
        <is>
          <t>3 提出專業依據</t>
        </is>
      </c>
      <c r="B39" s="17" t="inlineStr">
        <is>
          <t>「這個方法取向追求的是什麼，而不是什麼。」</t>
        </is>
      </c>
      <c r="C39" s="19" t="n"/>
      <c r="D39" s="20" t="n"/>
      <c r="E39" s="20" t="n"/>
      <c r="F39" s="18" t="n"/>
    </row>
    <row r="40" ht="42" customHeight="1" s="13">
      <c r="A40" s="17" t="inlineStr">
        <is>
          <t>4 承認限制</t>
        </is>
      </c>
      <c r="B40" s="17" t="inlineStr">
        <is>
          <t>「這確實代表我的結論無法＿＿。」</t>
        </is>
      </c>
      <c r="C40" s="19" t="n"/>
      <c r="D40" s="20" t="n"/>
      <c r="E40" s="20" t="n"/>
      <c r="F40" s="18" t="n"/>
    </row>
    <row r="41" ht="42" customHeight="1" s="13">
      <c r="A41" s="17" t="inlineStr">
        <is>
          <t>5 提出補強方式</t>
        </is>
      </c>
      <c r="B41" s="17" t="inlineStr">
        <is>
          <t>「如果要提高可信度，我可以＿＿。」</t>
        </is>
      </c>
      <c r="C41" s="19" t="n"/>
      <c r="D41" s="20" t="n"/>
      <c r="E41" s="20" t="n"/>
      <c r="F41" s="18" t="n"/>
    </row>
    <row r="42" ht="42" customHeight="1" s="13">
      <c r="A42" s="10" t="inlineStr">
        <is>
          <t>兩個要避免的極端：立刻說「那我改成 20 位」（沒有設計理由），堅持「5 位就是夠」（聽不進意見）。</t>
        </is>
      </c>
    </row>
    <row r="43" ht="40" customHeight="1" s="13"/>
    <row r="44" ht="24" customHeight="1" s="13">
      <c r="A44" s="2" t="inlineStr">
        <is>
          <t>四、個案題六步流程</t>
        </is>
      </c>
    </row>
    <row r="45" ht="26" customHeight="1" s="13">
      <c r="A45" s="21" t="inlineStr">
        <is>
          <t>步驟</t>
        </is>
      </c>
      <c r="B45" s="21" t="inlineStr">
        <is>
          <t>要說什麼</t>
        </is>
      </c>
      <c r="C45" s="18" t="n"/>
      <c r="D45" s="21" t="inlineStr">
        <is>
          <t>我的練習</t>
        </is>
      </c>
      <c r="E45" s="20" t="n"/>
      <c r="F45" s="18" t="n"/>
    </row>
    <row r="46" ht="35" customHeight="1" s="13">
      <c r="A46" s="17" t="inlineStr">
        <is>
          <t>1 界定問題</t>
        </is>
      </c>
      <c r="B46" s="17" t="inlineStr">
        <is>
          <t>觀察到什麼、還不確定什麼。</t>
        </is>
      </c>
      <c r="C46" s="18" t="n"/>
      <c r="D46" s="19" t="n"/>
      <c r="E46" s="20" t="n"/>
      <c r="F46" s="18" t="n"/>
    </row>
    <row r="47" ht="35" customHeight="1" s="13">
      <c r="A47" s="17" t="inlineStr">
        <is>
          <t>2 蒐集資訊</t>
        </is>
      </c>
      <c r="B47" s="17" t="inlineStr">
        <is>
          <t>會問誰、看什麼：導師、家長、輔導紀錄、學習表現、同儕。</t>
        </is>
      </c>
      <c r="C47" s="18" t="n"/>
      <c r="D47" s="19" t="n"/>
      <c r="E47" s="20" t="n"/>
      <c r="F47" s="18" t="n"/>
    </row>
    <row r="48" ht="35" customHeight="1" s="13">
      <c r="A48" s="17" t="inlineStr">
        <is>
          <t>3 套用專業理論</t>
        </is>
      </c>
      <c r="B48" s="17" t="inlineStr">
        <is>
          <t>發展階段、學習動機、家庭系統、行為功能分析、特教鑑定向度。</t>
        </is>
      </c>
      <c r="C48" s="18" t="n"/>
      <c r="D48" s="19" t="n"/>
      <c r="E48" s="20" t="n"/>
      <c r="F48" s="18" t="n"/>
    </row>
    <row r="49" ht="35" customHeight="1" s="13">
      <c r="A49" s="17" t="inlineStr">
        <is>
          <t>4 評估風險</t>
        </is>
      </c>
      <c r="B49" s="17" t="inlineStr">
        <is>
          <t>安全、自傷、受虐或需即時通報的疑慮。</t>
        </is>
      </c>
      <c r="C49" s="18" t="n"/>
      <c r="D49" s="19" t="n"/>
      <c r="E49" s="20" t="n"/>
      <c r="F49" s="18" t="n"/>
    </row>
    <row r="50" ht="35" customHeight="1" s="13">
      <c r="A50" s="17" t="inlineStr">
        <is>
          <t>5 提出介入方向</t>
        </is>
      </c>
      <c r="B50" s="17" t="inlineStr">
        <is>
          <t>具體、分階段、由誰執行。先講第一步。</t>
        </is>
      </c>
      <c r="C50" s="18" t="n"/>
      <c r="D50" s="19" t="n"/>
      <c r="E50" s="20" t="n"/>
      <c r="F50" s="18" t="n"/>
    </row>
    <row r="51" ht="35" customHeight="1" s="13">
      <c r="A51" s="17" t="inlineStr">
        <is>
          <t>6 持續修正</t>
        </is>
      </c>
      <c r="B51" s="17" t="inlineStr">
        <is>
          <t>怎麼觀察成效、何時調整或轉介。</t>
        </is>
      </c>
      <c r="C51" s="18" t="n"/>
      <c r="D51" s="19" t="n"/>
      <c r="E51" s="20" t="n"/>
      <c r="F51" s="18" t="n"/>
    </row>
    <row r="52" ht="42" customHeight="1" s="13">
      <c r="A52" s="10" t="inlineStr">
        <is>
          <t>第 1 步與第 4 步不可跳過。太快進到「我會怎麼做」，是這類題目最常見的失分點。不用「我會很有耐心陪他」取代專業判斷。</t>
        </is>
      </c>
    </row>
    <row r="53" ht="40" customHeight="1" s="13"/>
    <row r="54" ht="24" customHeight="1" s="13">
      <c r="A54" s="2" t="inlineStr">
        <is>
          <t>五、被問到沒準備到的問題（固定順序）</t>
        </is>
      </c>
    </row>
    <row r="55" ht="26" customHeight="1" s="13">
      <c r="A55" s="21" t="inlineStr">
        <is>
          <t>步驟</t>
        </is>
      </c>
      <c r="B55" s="21" t="inlineStr">
        <is>
          <t>句型</t>
        </is>
      </c>
      <c r="C55" s="21" t="inlineStr">
        <is>
          <t>我的內容</t>
        </is>
      </c>
      <c r="D55" s="20" t="n"/>
      <c r="E55" s="20" t="n"/>
      <c r="F55" s="18" t="n"/>
    </row>
    <row r="56" ht="53" customHeight="1" s="13">
      <c r="A56" s="17" t="inlineStr">
        <is>
          <t>1 先確認教授的邏輯</t>
        </is>
      </c>
      <c r="B56" s="17" t="inlineStr">
        <is>
          <t>「老師的意思是什麼，我理解得對嗎？」</t>
        </is>
      </c>
      <c r="C56" s="19" t="n"/>
      <c r="D56" s="20" t="n"/>
      <c r="E56" s="20" t="n"/>
      <c r="F56" s="18" t="n"/>
    </row>
    <row r="57" ht="53" customHeight="1" s="13">
      <c r="A57" s="17" t="inlineStr">
        <is>
          <t>2 誠實說明限制</t>
        </is>
      </c>
      <c r="B57" s="17" t="inlineStr">
        <is>
          <t>「這個部分我沒有讀到，這確實是我目前的不足。」</t>
        </is>
      </c>
      <c r="C57" s="19" t="n"/>
      <c r="D57" s="20" t="n"/>
      <c r="E57" s="20" t="n"/>
      <c r="F57" s="18" t="n"/>
    </row>
    <row r="58" ht="53" customHeight="1" s="13">
      <c r="A58" s="17" t="inlineStr">
        <is>
          <t>3 提出能推的部分</t>
        </is>
      </c>
      <c r="B58" s="17" t="inlineStr">
        <is>
          <t>從會的東西往那個方向推一段。</t>
        </is>
      </c>
      <c r="C58" s="19" t="n"/>
      <c r="D58" s="20" t="n"/>
      <c r="E58" s="20" t="n"/>
      <c r="F58" s="18" t="n"/>
    </row>
    <row r="59" ht="53" customHeight="1" s="13">
      <c r="A59" s="17" t="inlineStr">
        <is>
          <t>4 給出補救方向</t>
        </is>
      </c>
      <c r="B59" s="17" t="inlineStr">
        <is>
          <t>「如果要處理，我會先去看某類文獻或資料。」</t>
        </is>
      </c>
      <c r="C59" s="19" t="n"/>
      <c r="D59" s="20" t="n"/>
      <c r="E59" s="20" t="n"/>
      <c r="F59" s="18" t="n"/>
    </row>
    <row r="60" ht="42" customHeight="1" s="13">
      <c r="A60" s="10" t="inlineStr">
        <is>
          <t>要避免硬掰、沉默、過度道歉。假裝什麼都知道，比誠實承認不知道扣分更多。</t>
        </is>
      </c>
    </row>
    <row r="61" ht="42" customHeight="1" s="13">
      <c r="A61" s="10" t="n"/>
    </row>
    <row r="62" ht="42" customHeight="1" s="13">
      <c r="A62" s="10" t="inlineStr">
        <is>
          <t>填完切到「檢核表」分頁。</t>
        </is>
      </c>
    </row>
    <row r="63" ht="14" customHeight="1" s="13"/>
    <row r="64" ht="28" customHeight="1" s="13">
      <c r="A64" s="7" t="inlineStr">
        <is>
          <t># 搭配文章：教育研究所口試：政策題、個案題與方法答辯怎麼準備　https://tbd-edu.com/pages/resources/education-graduate-oral.html</t>
        </is>
      </c>
    </row>
    <row r="65" ht="28" customHeight="1" s="13">
      <c r="A65" s="7" t="inlineStr">
        <is>
          <t># TBD Studio ｜ https://tbd-edu.com/</t>
        </is>
      </c>
    </row>
  </sheetData>
  <mergeCells count="57">
    <mergeCell ref="B47:C47"/>
    <mergeCell ref="C6:D6"/>
    <mergeCell ref="C24:D24"/>
    <mergeCell ref="C39:F39"/>
    <mergeCell ref="C15:D15"/>
    <mergeCell ref="C5:D5"/>
    <mergeCell ref="B46:C46"/>
    <mergeCell ref="C38:F38"/>
    <mergeCell ref="C14:D14"/>
    <mergeCell ref="D48:F48"/>
    <mergeCell ref="C57:F57"/>
    <mergeCell ref="C37:F37"/>
    <mergeCell ref="D47:F47"/>
    <mergeCell ref="A2:F2"/>
    <mergeCell ref="A33:F33"/>
    <mergeCell ref="C20:D20"/>
    <mergeCell ref="B48:C48"/>
    <mergeCell ref="A42:F42"/>
    <mergeCell ref="C10:D10"/>
    <mergeCell ref="C16:D16"/>
    <mergeCell ref="E29:F29"/>
    <mergeCell ref="E28:F28"/>
    <mergeCell ref="C22:D22"/>
    <mergeCell ref="C9:D9"/>
    <mergeCell ref="A62:F62"/>
    <mergeCell ref="C58:F58"/>
    <mergeCell ref="E31:F31"/>
    <mergeCell ref="D51:F51"/>
    <mergeCell ref="C12:D12"/>
    <mergeCell ref="A52:F52"/>
    <mergeCell ref="E30:F30"/>
    <mergeCell ref="C21:D21"/>
    <mergeCell ref="C11:D11"/>
    <mergeCell ref="D50:F50"/>
    <mergeCell ref="C41:F41"/>
    <mergeCell ref="C17:D17"/>
    <mergeCell ref="C55:F55"/>
    <mergeCell ref="C23:D23"/>
    <mergeCell ref="C8:D8"/>
    <mergeCell ref="B49:C49"/>
    <mergeCell ref="C40:F40"/>
    <mergeCell ref="A60:F60"/>
    <mergeCell ref="C56:F56"/>
    <mergeCell ref="C7:D7"/>
    <mergeCell ref="E32:F32"/>
    <mergeCell ref="B51:C51"/>
    <mergeCell ref="D46:F46"/>
    <mergeCell ref="C19:D19"/>
    <mergeCell ref="B45:C45"/>
    <mergeCell ref="C59:F59"/>
    <mergeCell ref="D45:F45"/>
    <mergeCell ref="B50:C50"/>
    <mergeCell ref="C18:D18"/>
    <mergeCell ref="C13:D13"/>
    <mergeCell ref="C36:F36"/>
    <mergeCell ref="D49:F49"/>
    <mergeCell ref="A25:F25"/>
  </mergeCells>
  <dataValidations count="1">
    <dataValidation sqref="E6:F24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zoomScale="75" workbookViewId="0">
      <pane ySplit="2" topLeftCell="A48" activePane="bottomLeft" state="frozen"/>
      <selection pane="bottomLeft" activeCell="A41" activeCellId="1" sqref="A27:XFD27 A41:XFD41"/>
    </sheetView>
  </sheetViews>
  <sheetFormatPr baseColWidth="10" defaultColWidth="9" defaultRowHeight="14"/>
  <cols>
    <col width="39.59765625" customWidth="1" style="13" min="1" max="1"/>
    <col width="49" customWidth="1" style="13" min="2" max="2"/>
    <col width="18.19921875" customWidth="1" style="13" min="3" max="3"/>
    <col width="99.3984375" customWidth="1" style="13" min="4" max="4"/>
    <col width="12" customWidth="1" style="13" min="5" max="6"/>
  </cols>
  <sheetData>
    <row r="1" ht="30" customHeight="1" s="13">
      <c r="A1" s="1" t="inlineStr">
        <is>
          <t>教育｜口試自我檢核表　v1</t>
        </is>
      </c>
    </row>
    <row r="2" ht="28" customHeight="1" s="13">
      <c r="A2" s="22" t="inlineStr">
        <is>
          <t>6 區共 33 項。當場講得出來才打 ✓，「應該會吧」留白。判準見「先讀這裡」分頁。淡黃色的儲存格是要你填或勾的，其餘是給你讀的。</t>
        </is>
      </c>
    </row>
    <row r="3" ht="40" customHeight="1" s="13"/>
    <row r="4" ht="24" customHeight="1" s="13">
      <c r="A4" s="2" t="inlineStr">
        <is>
          <t>第 1 區　教授在確認的五件事（5 項　其他區做完再回來打）</t>
        </is>
      </c>
    </row>
    <row r="5" ht="26" customHeight="1" s="13">
      <c r="A5" s="21" t="inlineStr">
        <is>
          <t>檢核項目</t>
        </is>
      </c>
      <c r="B5" s="18" t="n"/>
      <c r="C5" s="21" t="inlineStr">
        <is>
          <t>確認</t>
        </is>
      </c>
      <c r="D5" s="21" t="inlineStr">
        <is>
          <t>沒打勾的話，下一步</t>
        </is>
      </c>
    </row>
    <row r="6" ht="32" customHeight="1" s="13">
      <c r="A6" s="17" t="inlineStr">
        <is>
          <t>我對自己的研究計畫理解得夠深，不是別人幫我組出來的</t>
        </is>
      </c>
      <c r="B6" s="18" t="n"/>
      <c r="C6" s="19" t="n"/>
      <c r="D6" s="17" t="inlineStr">
        <is>
          <t>題庫第一類五題都答得出來，才算。</t>
        </is>
      </c>
    </row>
    <row r="7" ht="32" customHeight="1" s="13">
      <c r="A7" s="17" t="inlineStr">
        <is>
          <t>面對方法漏洞時能說清楚設計理由</t>
        </is>
      </c>
      <c r="B7" s="18" t="n"/>
      <c r="C7" s="19" t="n"/>
      <c r="D7" s="17" t="inlineStr">
        <is>
          <t>回方法答辯五步框架，五步都填得出我的版本。</t>
        </is>
      </c>
    </row>
    <row r="8" ht="32" customHeight="1" s="13">
      <c r="A8" s="17" t="inlineStr">
        <is>
          <t>能處理教育現場的複雜情境</t>
        </is>
      </c>
      <c r="B8" s="18" t="n"/>
      <c r="C8" s="19" t="n"/>
      <c r="D8" s="17" t="inlineStr">
        <is>
          <t>個案題至少練過三題，用六步流程拆。</t>
        </is>
      </c>
    </row>
    <row r="9" ht="32" customHeight="1" s="13">
      <c r="A9" s="17" t="inlineStr">
        <is>
          <t>遇到案例或政策題有即時反應</t>
        </is>
      </c>
      <c r="B9" s="18" t="n"/>
      <c r="C9" s="19" t="n"/>
      <c r="D9" s="17" t="inlineStr">
        <is>
          <t>政策題四段練過三到五個議題。</t>
        </is>
      </c>
    </row>
    <row r="10" ht="32" customHeight="1" s="13">
      <c r="A10" s="17" t="inlineStr">
        <is>
          <t>面對盲點能承認限制並提出修正</t>
        </is>
      </c>
      <c r="B10" s="18" t="n"/>
      <c r="C10" s="19" t="n"/>
      <c r="D10" s="17" t="inlineStr">
        <is>
          <t>回第 3 區，固定回應順序練過了沒。</t>
        </is>
      </c>
    </row>
    <row r="11" ht="42" customHeight="1" s="13">
      <c r="A11" s="10" t="inlineStr">
        <is>
          <t>這五項是總結，不是新工作。它們測的是專業思考的方式，不是知識量。</t>
        </is>
      </c>
    </row>
    <row r="12" ht="40" customHeight="1" s="13"/>
    <row r="13" ht="24" customHeight="1" s="13">
      <c r="A13" s="2" t="inlineStr">
        <is>
          <t>第 2 區　答題原則（4 項　✓ 代表我不會這樣答）</t>
        </is>
      </c>
    </row>
    <row r="14" ht="26" customHeight="1" s="13">
      <c r="A14" s="21" t="inlineStr">
        <is>
          <t>檢核項目</t>
        </is>
      </c>
      <c r="B14" s="18" t="n"/>
      <c r="C14" s="21" t="inlineStr">
        <is>
          <t>確認</t>
        </is>
      </c>
      <c r="D14" s="21" t="inlineStr">
        <is>
          <t>沒打勾的話，下一步</t>
        </is>
      </c>
    </row>
    <row r="15" ht="32" customHeight="1" s="13">
      <c r="A15" s="17" t="inlineStr">
        <is>
          <t>方法被質疑時，不立刻說「那我改成 20 位」</t>
        </is>
      </c>
      <c r="B15" s="18" t="n"/>
      <c r="C15" s="19" t="n"/>
      <c r="D15" s="17" t="inlineStr">
        <is>
          <t>先確認問題，說明原始設計。你的設計要有理由。</t>
        </is>
      </c>
    </row>
    <row r="16" ht="32" customHeight="1" s="13">
      <c r="A16" s="17" t="inlineStr">
        <is>
          <t>方法被質疑時，不堅持「5 位就是夠」</t>
        </is>
      </c>
      <c r="B16" s="18" t="n"/>
      <c r="C16" s="19" t="n"/>
      <c r="D16" s="17" t="inlineStr">
        <is>
          <t>接受合理的質疑，承認限制，提補強方式。</t>
        </is>
      </c>
    </row>
    <row r="17" ht="32" customHeight="1" s="13">
      <c r="A17" s="17" t="inlineStr">
        <is>
          <t>個案題不跳過界定問題與評估風險，直接講「我會怎麼做」</t>
        </is>
      </c>
      <c r="B17" s="18" t="n"/>
      <c r="C17" s="19" t="n"/>
      <c r="D17" s="17" t="inlineStr">
        <is>
          <t>回六步流程，第 1 步與第 4 步不可跳過。</t>
        </is>
      </c>
    </row>
    <row r="18" ht="32" customHeight="1" s="13">
      <c r="A18" s="17" t="inlineStr">
        <is>
          <t>個案題不用「我會很有耐心陪他」取代專業判斷</t>
        </is>
      </c>
      <c r="B18" s="18" t="n"/>
      <c r="C18" s="19" t="n"/>
      <c r="D18" s="17" t="inlineStr">
        <is>
          <t>套用專業理論：發展階段、學習動機、家庭系統、行為功能分析。</t>
        </is>
      </c>
    </row>
    <row r="19" ht="42" customHeight="1" s="13">
      <c r="A19" s="10" t="inlineStr">
        <is>
          <t>被質疑時不急著改答案，也不硬撐。先說明判斷依據，再說明怎麼修正。</t>
        </is>
      </c>
    </row>
    <row r="20" ht="40" customHeight="1" s="13"/>
    <row r="21" ht="24" customHeight="1" s="13">
      <c r="A21" s="2" t="inlineStr">
        <is>
          <t>第 3 區　被問到沒準備到的問題（5 項）</t>
        </is>
      </c>
    </row>
    <row r="22" ht="26" customHeight="1" s="13">
      <c r="A22" s="21" t="inlineStr">
        <is>
          <t>檢核項目</t>
        </is>
      </c>
      <c r="B22" s="18" t="n"/>
      <c r="C22" s="21" t="inlineStr">
        <is>
          <t>確認</t>
        </is>
      </c>
      <c r="D22" s="21" t="inlineStr">
        <is>
          <t>沒打勾的話，下一步</t>
        </is>
      </c>
    </row>
    <row r="23" ht="32" customHeight="1" s="13">
      <c r="A23" s="17" t="inlineStr">
        <is>
          <t>練過先確認教授的邏輯</t>
        </is>
      </c>
      <c r="B23" s="18" t="n"/>
      <c r="C23" s="19" t="n"/>
      <c r="D23" s="17" t="inlineStr">
        <is>
          <t>「老師的意思是什麼，我理解得對嗎？」</t>
        </is>
      </c>
    </row>
    <row r="24" ht="32" customHeight="1" s="13">
      <c r="A24" s="17" t="inlineStr">
        <is>
          <t>練過誠實說明限制</t>
        </is>
      </c>
      <c r="B24" s="18" t="n"/>
      <c r="C24" s="19" t="n"/>
      <c r="D24" s="17" t="inlineStr">
        <is>
          <t>「這個部分我沒有讀到，這確實是我目前的不足。」</t>
        </is>
      </c>
    </row>
    <row r="25" ht="32" customHeight="1" s="13">
      <c r="A25" s="17" t="inlineStr">
        <is>
          <t>練過提出能推的部分</t>
        </is>
      </c>
      <c r="B25" s="18" t="n"/>
      <c r="C25" s="19" t="n"/>
      <c r="D25" s="17" t="inlineStr">
        <is>
          <t>從會的東西往那個方向推一段。這一步顯示的是思考路徑。</t>
        </is>
      </c>
    </row>
    <row r="26" ht="32" customHeight="1" s="13">
      <c r="A26" s="17" t="inlineStr">
        <is>
          <t>練過給出補救方向</t>
        </is>
      </c>
      <c r="B26" s="18" t="n"/>
      <c r="C26" s="19" t="n"/>
      <c r="D26" s="17" t="inlineStr">
        <is>
          <t>「如果要處理，我會先去看某類文獻或資料。」</t>
        </is>
      </c>
    </row>
    <row r="27" ht="32" customHeight="1" s="13">
      <c r="A27" s="17" t="inlineStr">
        <is>
          <t>確認自己不會硬掰、沉默或過度道歉</t>
        </is>
      </c>
      <c r="B27" s="18" t="n"/>
      <c r="C27" s="19" t="n"/>
      <c r="D27" s="17" t="inlineStr">
        <is>
          <t>假裝什麼都知道，比誠實承認不知道扣分更多。</t>
        </is>
      </c>
    </row>
    <row r="28" ht="42" customHeight="1" s="13">
      <c r="A28" s="10" t="inlineStr">
        <is>
          <t>一定會被問到沒準備到的問題，而且教授通常是故意的。被評估的是反思能力。</t>
        </is>
      </c>
    </row>
    <row r="29" ht="40" customHeight="1" s="13"/>
    <row r="30" ht="24" customHeight="1" s="13">
      <c r="A30" s="2" t="inlineStr">
        <is>
          <t>第 4 區　上場前檢核（9 項　沒滿就還不能上場）</t>
        </is>
      </c>
    </row>
    <row r="31" ht="26" customHeight="1" s="13">
      <c r="A31" s="21" t="inlineStr">
        <is>
          <t>檢核項目</t>
        </is>
      </c>
      <c r="B31" s="18" t="n"/>
      <c r="C31" s="21" t="inlineStr">
        <is>
          <t>確認</t>
        </is>
      </c>
      <c r="D31" s="21" t="inlineStr">
        <is>
          <t>沒打勾的話，下一步</t>
        </is>
      </c>
    </row>
    <row r="32" ht="32" customHeight="1" s="13">
      <c r="A32" s="17" t="inlineStr">
        <is>
          <t>能在一分鐘內說清楚研究計畫（問題、方法、貢獻）</t>
        </is>
      </c>
      <c r="B32" s="18" t="n"/>
      <c r="C32" s="19" t="n"/>
      <c r="D32" s="17" t="inlineStr">
        <is>
          <t>回題庫第一題，計時練到不看稿。</t>
        </is>
      </c>
    </row>
    <row r="33" ht="32" customHeight="1" s="13">
      <c r="A33" s="17" t="inlineStr">
        <is>
          <t>說得出每一個方法選擇的理由</t>
        </is>
      </c>
      <c r="B33" s="18" t="n"/>
      <c r="C33" s="19" t="n"/>
      <c r="D33" s="17" t="inlineStr">
        <is>
          <t>回方法答辯五步框架第二、三步。</t>
        </is>
      </c>
    </row>
    <row r="34" ht="32" customHeight="1" s="13">
      <c r="A34" s="17" t="inlineStr">
        <is>
          <t>知道研究最大的限制是什麼，也想好怎麼補強</t>
        </is>
      </c>
      <c r="B34" s="18" t="n"/>
      <c r="C34" s="19" t="n"/>
      <c r="D34" s="17" t="inlineStr">
        <is>
          <t>回方法答辯五步框架第四、五步。</t>
        </is>
      </c>
    </row>
    <row r="35" ht="32" customHeight="1" s="13">
      <c r="A35" s="17" t="inlineStr">
        <is>
          <t>準備了三到五個次領域相關的政策議題，能用四段結構講</t>
        </is>
      </c>
      <c r="B35" s="18" t="n"/>
      <c r="C35" s="19" t="n"/>
      <c r="D35" s="17" t="inlineStr">
        <is>
          <t>回政策題四段練習。</t>
        </is>
      </c>
    </row>
    <row r="36" ht="32" customHeight="1" s="13">
      <c r="A36" s="17" t="inlineStr">
        <is>
          <t>練過至少三題個案或情境題，用六步流程拆解</t>
        </is>
      </c>
      <c r="B36" s="18" t="n"/>
      <c r="C36" s="19" t="n"/>
      <c r="D36" s="17" t="inlineStr">
        <is>
          <t>回個案題六步流程。</t>
        </is>
      </c>
    </row>
    <row r="37" ht="32" customHeight="1" s="13">
      <c r="A37" s="17" t="inlineStr">
        <is>
          <t>心諮或特教：實際演練過實演，並回顧過自己的盲點</t>
        </is>
      </c>
      <c r="B37" s="18" t="n"/>
      <c r="C37" s="19" t="n"/>
      <c r="D37" s="17" t="inlineStr">
        <is>
          <t>找同學輪流扮演個案，練五次以上。不適用的次領域直接打 ✓。</t>
        </is>
      </c>
    </row>
    <row r="38" ht="32" customHeight="1" s="13">
      <c r="A38" s="17" t="inlineStr">
        <is>
          <t>說得出最近在現場看到什麼、還在想什麼問題</t>
        </is>
      </c>
      <c r="B38" s="18" t="n"/>
      <c r="C38" s="19" t="n"/>
      <c r="D38" s="17" t="inlineStr">
        <is>
          <t>至少一個你還在想的問題。</t>
        </is>
      </c>
    </row>
    <row r="39" ht="32" customHeight="1" s="13">
      <c r="A39" s="17" t="inlineStr">
        <is>
          <t>遇到不會的問題時有固定的回應順序</t>
        </is>
      </c>
      <c r="B39" s="18" t="n"/>
      <c r="C39" s="19" t="n"/>
      <c r="D39" s="17" t="inlineStr">
        <is>
          <t>回第 3 區。</t>
        </is>
      </c>
    </row>
    <row r="40" ht="32" customHeight="1" s="13">
      <c r="A40" s="17" t="inlineStr">
        <is>
          <t>備審裡每一段經歷都能被追問細節而不出錯</t>
        </is>
      </c>
      <c r="B40" s="18" t="n"/>
      <c r="C40" s="19" t="n"/>
      <c r="D40" s="17" t="inlineStr">
        <is>
          <t>備審重讀一遍，逐段自問。</t>
        </is>
      </c>
    </row>
    <row r="41" ht="42" customHeight="1" s="13">
      <c r="A41" s="10" t="inlineStr">
        <is>
          <t>這九項是最後那道閘門。它們不是新工作，是把前面的準備再問一次。</t>
        </is>
      </c>
    </row>
    <row r="42" ht="40" customHeight="1" s="13"/>
    <row r="43" ht="24" customHeight="1" s="13">
      <c r="A43" s="2" t="inlineStr">
        <is>
          <t>第 5 區　行政準備（4 項）</t>
        </is>
      </c>
    </row>
    <row r="44" ht="26" customHeight="1" s="13">
      <c r="A44" s="21" t="inlineStr">
        <is>
          <t>檢核項目</t>
        </is>
      </c>
      <c r="B44" s="18" t="n"/>
      <c r="C44" s="21" t="inlineStr">
        <is>
          <t>確認</t>
        </is>
      </c>
      <c r="D44" s="21" t="inlineStr">
        <is>
          <t>沒打勾的話，下一步</t>
        </is>
      </c>
    </row>
    <row r="45" ht="32" customHeight="1" s="13">
      <c r="A45" s="17" t="inlineStr">
        <is>
          <t>確認時間、地點、報到方式與交通</t>
        </is>
      </c>
      <c r="B45" s="18" t="n"/>
      <c r="C45" s="19" t="n"/>
      <c r="D45" s="17" t="inlineStr">
        <is>
          <t>線上口試則測試設備與網路。</t>
        </is>
      </c>
    </row>
    <row r="46" ht="32" customHeight="1" s="13">
      <c r="A46" s="17" t="inlineStr">
        <is>
          <t>簡報或紙本資料依簡章規定準備，份數確認</t>
        </is>
      </c>
      <c r="B46" s="18" t="n"/>
      <c r="C46" s="19" t="n"/>
      <c r="D46" s="17" t="inlineStr">
        <is>
          <t>逐校看簡章，不要用同一套投所有學校。</t>
        </is>
      </c>
    </row>
    <row r="47" ht="32" customHeight="1" s="13">
      <c r="A47" s="17" t="inlineStr">
        <is>
          <t>備審資料自己重讀一遍，並帶一份可翻閱的版本</t>
        </is>
      </c>
      <c r="B47" s="18" t="n"/>
      <c r="C47" s="19" t="n"/>
      <c r="D47" s="17" t="inlineStr">
        <is>
          <t>教授手上就是這一份，你要比他熟。</t>
        </is>
      </c>
    </row>
    <row r="48" ht="32" customHeight="1" s="13">
      <c r="A48" s="17" t="inlineStr">
        <is>
          <t>服裝整潔，以不干擾對話為原則</t>
        </is>
      </c>
      <c r="B48" s="18" t="n"/>
      <c r="C48" s="19" t="n"/>
      <c r="D48" s="17" t="inlineStr">
        <is>
          <t>不用刻意，不要成為話題就好。</t>
        </is>
      </c>
    </row>
    <row r="49" ht="42" customHeight="1" s="13">
      <c r="A49" s="10" t="inlineStr">
        <is>
          <t>行政項目最容易被當成小事，但任何一項出錯，當天都會直接影響表現。</t>
        </is>
      </c>
    </row>
    <row r="50" ht="40" customHeight="1" s="13"/>
    <row r="51" ht="24" customHeight="1" s="13">
      <c r="A51" s="2" t="inlineStr">
        <is>
          <t>第 6 區　常見失分點（6 項　✓ 代表我不會這樣答）</t>
        </is>
      </c>
    </row>
    <row r="52" ht="26" customHeight="1" s="13">
      <c r="A52" s="21" t="inlineStr">
        <is>
          <t>檢核項目</t>
        </is>
      </c>
      <c r="B52" s="18" t="n"/>
      <c r="C52" s="21" t="inlineStr">
        <is>
          <t>確認</t>
        </is>
      </c>
      <c r="D52" s="21" t="inlineStr">
        <is>
          <t>沒打勾的話，下一步</t>
        </is>
      </c>
    </row>
    <row r="53" ht="32" customHeight="1" s="13">
      <c r="A53" s="17" t="inlineStr">
        <is>
          <t>研究動機講成教育熱忱，說不出具體事件</t>
        </is>
      </c>
      <c r="B53" s="18" t="n"/>
      <c r="C53" s="19" t="n"/>
      <c r="D53" s="17" t="inlineStr">
        <is>
          <t>回到哪一個現場、哪一次觀察、哪一個重複出現的問題。</t>
        </is>
      </c>
    </row>
    <row r="54" ht="32" customHeight="1" s="13">
      <c r="A54" s="17" t="inlineStr">
        <is>
          <t>題目大到兩年做不完，被問到縮小方案時答不出來</t>
        </is>
      </c>
      <c r="B54" s="18" t="n"/>
      <c r="C54" s="19" t="n"/>
      <c r="D54" s="17" t="inlineStr">
        <is>
          <t>先想好收斂方向：限縮到單一場域，或把兩個問題減為一個。</t>
        </is>
      </c>
    </row>
    <row r="55" ht="32" customHeight="1" s="13">
      <c r="A55" s="17" t="inlineStr">
        <is>
          <t>方法答成教科書定義，說不出在我的題目上怎麼用</t>
        </is>
      </c>
      <c r="B55" s="18" t="n"/>
      <c r="C55" s="19" t="n"/>
      <c r="D55" s="17" t="inlineStr">
        <is>
          <t>回方法答辯五步框架第三步，講這個取向在你的題目上追求什麼。</t>
        </is>
      </c>
    </row>
    <row r="56" ht="32" customHeight="1" s="13">
      <c r="A56" s="17" t="inlineStr">
        <is>
          <t>研究對象沒有著落，管道與同意流程講不清楚</t>
        </is>
      </c>
      <c r="B56" s="18" t="n"/>
      <c r="C56" s="19" t="n"/>
      <c r="D56" s="17" t="inlineStr">
        <is>
          <t>回題庫研究方法第四、五題。</t>
        </is>
      </c>
    </row>
    <row r="57" ht="32" customHeight="1" s="13">
      <c r="A57" s="17" t="inlineStr">
        <is>
          <t>倫理一句話帶過，沒想過同意、保密與退出機制</t>
        </is>
      </c>
      <c r="B57" s="18" t="n"/>
      <c r="C57" s="19" t="n"/>
      <c r="D57" s="17" t="inlineStr">
        <is>
          <t>三件事各準備一句話。涉及未成年的要更細。</t>
        </is>
      </c>
    </row>
    <row r="58" ht="32" customHeight="1" s="13">
      <c r="A58" s="17" t="inlineStr">
        <is>
          <t>被問到政策時事只表達立場，沒有連回自己的研究問題</t>
        </is>
      </c>
      <c r="B58" s="18" t="n"/>
      <c r="C58" s="19" t="n"/>
      <c r="D58" s="17" t="inlineStr">
        <is>
          <t>回政策題四段練習，最後一段要接回研究問題。</t>
        </is>
      </c>
    </row>
    <row r="59" ht="40" customHeight="1" s="13"/>
    <row r="60" ht="42" customHeight="1" s="13">
      <c r="A60" s="10" t="inlineStr">
        <is>
          <t>打完切到「我到哪了」分頁看結果。</t>
        </is>
      </c>
    </row>
    <row r="61" ht="14" customHeight="1" s="13"/>
    <row r="62" ht="28" customHeight="1" s="13">
      <c r="A62" s="7" t="inlineStr">
        <is>
          <t># 搭配文章：教育研究所口試：政策題、個案題與方法答辯怎麼準備　https://tbd-edu.com/pages/resources/education-graduate-oral.html</t>
        </is>
      </c>
    </row>
    <row r="63" ht="28" customHeight="1" s="13">
      <c r="A63" s="7" t="inlineStr">
        <is>
          <t># TBD Studio ｜ https://tbd-edu.com/</t>
        </is>
      </c>
    </row>
  </sheetData>
  <mergeCells count="31">
    <mergeCell ref="A48:B48"/>
    <mergeCell ref="A24:B24"/>
    <mergeCell ref="A15:B15"/>
    <mergeCell ref="A45:B45"/>
    <mergeCell ref="A36:B36"/>
    <mergeCell ref="A19:D19"/>
    <mergeCell ref="A28:D28"/>
    <mergeCell ref="A6:B6"/>
    <mergeCell ref="A54:B54"/>
    <mergeCell ref="A16:B16"/>
    <mergeCell ref="A7:B7"/>
    <mergeCell ref="A11:D11"/>
    <mergeCell ref="A18:B18"/>
    <mergeCell ref="A49:D49"/>
    <mergeCell ref="A60:D60"/>
    <mergeCell ref="A55:B55"/>
    <mergeCell ref="A33:B33"/>
    <mergeCell ref="A5:B5"/>
    <mergeCell ref="A32:B32"/>
    <mergeCell ref="A14:B14"/>
    <mergeCell ref="A41:D41"/>
    <mergeCell ref="A17:B17"/>
    <mergeCell ref="A23:B23"/>
    <mergeCell ref="A8:B8"/>
    <mergeCell ref="A35:B35"/>
    <mergeCell ref="A52:B52"/>
    <mergeCell ref="A10:B10"/>
    <mergeCell ref="A2:D2"/>
    <mergeCell ref="A40:B40"/>
    <mergeCell ref="A9:B9"/>
    <mergeCell ref="A58:B58"/>
  </mergeCells>
  <dataValidations count="1">
    <dataValidation sqref="C6:C10 C15:C18 C23:C27 C32:C40 C45:C48 C53:C58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zoomScale="75" workbookViewId="0">
      <pane ySplit="2" topLeftCell="A7" activePane="bottomLeft" state="frozen"/>
      <selection pane="bottomLeft" activeCell="D29" sqref="D29"/>
    </sheetView>
  </sheetViews>
  <sheetFormatPr baseColWidth="10" defaultColWidth="9" defaultRowHeight="14"/>
  <cols>
    <col width="39.59765625" customWidth="1" style="13" min="1" max="1"/>
    <col width="18.19921875" customWidth="1" style="13" min="2" max="2"/>
    <col width="64.59765625" customWidth="1" style="13" min="3" max="3"/>
    <col width="74.59765625" customWidth="1" style="13" min="4" max="4"/>
    <col width="12" customWidth="1" style="13" min="5" max="6"/>
  </cols>
  <sheetData>
    <row r="1" ht="30" customHeight="1" s="13">
      <c r="A1" s="1" t="inlineStr">
        <is>
          <t>教育｜口試自我檢核表　v1</t>
        </is>
      </c>
    </row>
    <row r="2" ht="28" customHeight="1" s="13">
      <c r="A2" s="22" t="inlineStr">
        <is>
          <t>數字會跟著前面的分頁自動變。留白的項目就是你接下來的工作清單。</t>
        </is>
      </c>
    </row>
    <row r="3" ht="40" customHeight="1" s="13"/>
    <row r="4" ht="24" customHeight="1" s="13">
      <c r="A4" s="2" t="inlineStr">
        <is>
          <t>8 區完成度</t>
        </is>
      </c>
    </row>
    <row r="5" ht="26" customHeight="1" s="13">
      <c r="A5" s="21" t="inlineStr">
        <is>
          <t>區塊</t>
        </is>
      </c>
      <c r="B5" s="21" t="inlineStr">
        <is>
          <t>已確認</t>
        </is>
      </c>
      <c r="C5" s="21" t="inlineStr">
        <is>
          <t>完成的比例（滿格代表這一區做完）</t>
        </is>
      </c>
      <c r="D5" s="21" t="inlineStr">
        <is>
          <t>這一區在檢查什麼</t>
        </is>
      </c>
    </row>
    <row r="6" ht="52" customHeight="1" s="13">
      <c r="A6" s="17" t="inlineStr">
        <is>
          <t>題庫：寫出答案</t>
        </is>
      </c>
      <c r="B6" s="17">
        <f>COUNTIF(題庫與素材!E6:E24,"✓")&amp;" / 19"</f>
        <v/>
      </c>
      <c r="C6" s="17">
        <f>IF(COUNTIF(題庫與素材!E6:E24,"✓")=0,"尚未開始",REPT("█",ROUND(COUNTIF(題庫與素材!E6:E24,"✓")/19*16,0)))</f>
        <v/>
      </c>
      <c r="D6" s="17" t="inlineStr">
        <is>
          <t>四類追問十九題，寫得出答案了沒。</t>
        </is>
      </c>
    </row>
    <row r="7" ht="52" customHeight="1" s="13">
      <c r="A7" s="17" t="inlineStr">
        <is>
          <t>題庫：練過口說</t>
        </is>
      </c>
      <c r="B7" s="17">
        <f>COUNTIF(題庫與素材!F6:F24,"✓")&amp;" / 19"</f>
        <v/>
      </c>
      <c r="C7" s="17">
        <f>IF(COUNTIF(題庫與素材!F6:F24,"✓")=0,"尚未開始",REPT("█",ROUND(COUNTIF(題庫與素材!F6:F24,"✓")/19*16,0)))</f>
        <v/>
      </c>
      <c r="D7" s="17" t="inlineStr">
        <is>
          <t>同樣十九題，對著人講得出來了沒。</t>
        </is>
      </c>
    </row>
    <row r="8" ht="52" customHeight="1" s="13">
      <c r="A8" s="17" t="inlineStr">
        <is>
          <t>教授在確認的五件事</t>
        </is>
      </c>
      <c r="B8" s="17">
        <f>COUNTIF(檢核表!C6:C10,"✓")&amp;" / 5"</f>
        <v/>
      </c>
      <c r="C8" s="17">
        <f>IF(COUNTIF(檢核表!C6:C10,"✓")=0,"尚未開始",REPT("█",ROUND(COUNTIF(檢核表!C6:C10,"✓")/5*16,0)))</f>
        <v/>
      </c>
      <c r="D8" s="17" t="inlineStr">
        <is>
          <t>總結。其他區做完再回來打。</t>
        </is>
      </c>
    </row>
    <row r="9" ht="52" customHeight="1" s="13">
      <c r="A9" s="17" t="inlineStr">
        <is>
          <t>答題原則</t>
        </is>
      </c>
      <c r="B9" s="17">
        <f>COUNTIF(檢核表!C15:C18,"✓")&amp;" / 4"</f>
        <v/>
      </c>
      <c r="C9" s="17">
        <f>IF(COUNTIF(檢核表!C15:C18,"✓")=0,"尚未開始",REPT("█",ROUND(COUNTIF(檢核表!C15:C18,"✓")/4*16,0)))</f>
        <v/>
      </c>
      <c r="D9" s="17" t="inlineStr">
        <is>
          <t>方法題的兩個極端、個案題的兩個原則，有沒有避開。</t>
        </is>
      </c>
    </row>
    <row r="10" ht="52" customHeight="1" s="13">
      <c r="A10" s="17" t="inlineStr">
        <is>
          <t>被問到沒準備到的問題</t>
        </is>
      </c>
      <c r="B10" s="17">
        <f>COUNTIF(檢核表!C23:C27,"✓")&amp;" / 5"</f>
        <v/>
      </c>
      <c r="C10" s="17">
        <f>IF(COUNTIF(檢核表!C23:C27,"✓")=0,"尚未開始",REPT("█",ROUND(COUNTIF(檢核表!C23:C27,"✓")/5*16,0)))</f>
        <v/>
      </c>
      <c r="D10" s="17" t="inlineStr">
        <is>
          <t>固定的回應順序練過了沒。</t>
        </is>
      </c>
    </row>
    <row r="11" ht="52" customHeight="1" s="13">
      <c r="A11" s="17" t="inlineStr">
        <is>
          <t>上場前檢核</t>
        </is>
      </c>
      <c r="B11" s="17">
        <f>COUNTIF(檢核表!C32:C40,"✓")&amp;" / 9"</f>
        <v/>
      </c>
      <c r="C11" s="17">
        <f>IF(COUNTIF(檢核表!C32:C40,"✓")=0,"尚未開始",REPT("█",ROUND(COUNTIF(檢核表!C32:C40,"✓")/9*16,0)))</f>
        <v/>
      </c>
      <c r="D11" s="17" t="inlineStr">
        <is>
          <t>最後那道閘門。這九項沒到就還不能上場。</t>
        </is>
      </c>
    </row>
    <row r="12" ht="52" customHeight="1" s="13">
      <c r="A12" s="17" t="inlineStr">
        <is>
          <t>行政準備</t>
        </is>
      </c>
      <c r="B12" s="17">
        <f>COUNTIF(檢核表!C45:C48,"✓")&amp;" / 4"</f>
        <v/>
      </c>
      <c r="C12" s="17">
        <f>IF(COUNTIF(檢核表!C45:C48,"✓")=0,"尚未開始",REPT("█",ROUND(COUNTIF(檢核表!C45:C48,"✓")/4*16,0)))</f>
        <v/>
      </c>
      <c r="D12" s="17" t="inlineStr">
        <is>
          <t>時間地點、簡報份數、備審重讀、服裝。</t>
        </is>
      </c>
    </row>
    <row r="13" ht="52" customHeight="1" s="13">
      <c r="A13" s="17" t="inlineStr">
        <is>
          <t>常見失分點</t>
        </is>
      </c>
      <c r="B13" s="17">
        <f>COUNTIF(檢核表!C53:C58,"✓")&amp;" / 6"</f>
        <v/>
      </c>
      <c r="C13" s="17">
        <f>IF(COUNTIF(檢核表!C53:C58,"✓")=0,"尚未開始",REPT("█",ROUND(COUNTIF(檢核表!C53:C58,"✓")/6*16,0)))</f>
        <v/>
      </c>
      <c r="D13" s="17" t="inlineStr">
        <is>
          <t>有沒有踩到最常見的六個失分回答。</t>
        </is>
      </c>
    </row>
    <row r="14" ht="52" customHeight="1" s="13">
      <c r="A14" s="17" t="inlineStr">
        <is>
          <t>合計</t>
        </is>
      </c>
      <c r="B14" s="17">
        <f>(COUNTIF(題庫與素材!E6:E24,"✓")+COUNTIF(題庫與素材!F6:F24,"✓")+COUNTIF(檢核表!C6:C10,"✓")+COUNTIF(檢核表!C15:C18,"✓")+COUNTIF(檢核表!C23:C27,"✓")+COUNTIF(檢核表!C32:C40,"✓")+COUNTIF(檢核表!C45:C48,"✓")+COUNTIF(檢核表!C53:C58,"✓"))&amp;" / 71"</f>
        <v/>
      </c>
      <c r="C14" s="17">
        <f>IF((COUNTIF(題庫與素材!E6:E24,"✓")+COUNTIF(題庫與素材!F6:F24,"✓")+COUNTIF(檢核表!C6:C10,"✓")+COUNTIF(檢核表!C15:C18,"✓")+COUNTIF(檢核表!C23:C27,"✓")+COUNTIF(檢核表!C32:C40,"✓")+COUNTIF(檢核表!C45:C48,"✓")+COUNTIF(檢核表!C53:C58,"✓"))=0,"尚未開始",REPT("█",ROUND((COUNTIF(題庫與素材!E6:E24,"✓")+COUNTIF(題庫與素材!F6:F24,"✓")+COUNTIF(檢核表!C6:C10,"✓")+COUNTIF(檢核表!C15:C18,"✓")+COUNTIF(檢核表!C23:C27,"✓")+COUNTIF(檢核表!C32:C40,"✓")+COUNTIF(檢核表!C45:C48,"✓")+COUNTIF(檢核表!C53:C58,"✓"))/71*16,0)))</f>
        <v/>
      </c>
      <c r="D14" s="17" t="inlineStr">
        <is>
          <t>完成率見下方。</t>
        </is>
      </c>
    </row>
    <row r="15" ht="42" customHeight="1" s="13">
      <c r="A15" s="10" t="inlineStr">
        <is>
          <t>9 條長條都換算成同一個滿格刻度，所以可以直接互相比。最短的那一區就是你目前最弱的地方。</t>
        </is>
      </c>
    </row>
    <row r="16" ht="40" customHeight="1" s="13"/>
    <row r="17" ht="24" customHeight="1" s="13">
      <c r="A17" s="2" t="inlineStr">
        <is>
          <t>還有什麼可以做</t>
        </is>
      </c>
    </row>
    <row r="18" ht="26" customHeight="1" s="13">
      <c r="A18" s="21" t="inlineStr">
        <is>
          <t>完成率</t>
        </is>
      </c>
      <c r="B18" s="21" t="inlineStr">
        <is>
          <t>還沒打勾</t>
        </is>
      </c>
      <c r="C18" s="21" t="inlineStr">
        <is>
          <t>怎麼用這兩個數字</t>
        </is>
      </c>
      <c r="D18" s="18" t="n"/>
    </row>
    <row r="19" ht="32" customHeight="1" s="13">
      <c r="A19" s="9">
        <f>(COUNTIF(題庫與素材!E6:E24,"✓")+COUNTIF(題庫與素材!F6:F24,"✓")+COUNTIF(檢核表!C6:C10,"✓")+COUNTIF(檢核表!C15:C18,"✓")+COUNTIF(檢核表!C23:C27,"✓")+COUNTIF(檢核表!C32:C40,"✓")+COUNTIF(檢核表!C45:C48,"✓")+COUNTIF(檢核表!C53:C58,"✓"))/71</f>
        <v/>
      </c>
      <c r="B19" s="17">
        <f>71-(COUNTIF(題庫與素材!E6:E24,"✓")+COUNTIF(題庫與素材!F6:F24,"✓")+COUNTIF(檢核表!C6:C10,"✓")+COUNTIF(檢核表!C15:C18,"✓")+COUNTIF(檢核表!C23:C27,"✓")+COUNTIF(檢核表!C32:C40,"✓")+COUNTIF(檢核表!C45:C48,"✓")+COUNTIF(檢核表!C53:C58,"✓"))</f>
        <v/>
      </c>
      <c r="C19" s="17" t="inlineStr">
        <is>
          <t>「還沒打勾」就是你的工作清單長度。回「檢核表」看那幾列的「下一步」欄，一項對應一件要做的事。</t>
        </is>
      </c>
      <c r="D19" s="18" t="n"/>
    </row>
    <row r="20" ht="42" customHeight="1" s="13">
      <c r="A20" s="10" t="inlineStr">
        <is>
          <t>不用追求一次補完。每次回來處理三到五項，隔幾天再打一次，你會看得到自己的進度。</t>
        </is>
      </c>
    </row>
    <row r="21" ht="14" customHeight="1" s="13"/>
    <row r="22" ht="28" customHeight="1" s="13">
      <c r="A22" s="7" t="inlineStr">
        <is>
          <t># 搭配文章：教育研究所口試：政策題、個案題與方法答辯怎麼準備　https://tbd-edu.com/pages/resources/education-graduate-oral.html</t>
        </is>
      </c>
      <c r="B22" s="6" t="n"/>
      <c r="C22" s="6" t="n"/>
      <c r="D22" s="6" t="n"/>
      <c r="E22" s="6" t="n"/>
    </row>
    <row r="23" ht="28" customHeight="1" s="13">
      <c r="A23" s="7" t="inlineStr">
        <is>
          <t># TBD Studio ｜ https://tbd-edu.com/</t>
        </is>
      </c>
      <c r="B23" s="6" t="n"/>
      <c r="C23" s="6" t="n"/>
      <c r="D23" s="6" t="n"/>
      <c r="E23" s="6" t="n"/>
    </row>
  </sheetData>
  <mergeCells count="5">
    <mergeCell ref="A20:D20"/>
    <mergeCell ref="C19:D19"/>
    <mergeCell ref="A15:D15"/>
    <mergeCell ref="A2:D2"/>
    <mergeCell ref="C18:D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tabSelected="1" zoomScale="75" workbookViewId="0">
      <pane ySplit="2" topLeftCell="A3" activePane="bottomLeft" state="frozen"/>
      <selection pane="bottomLeft" activeCell="C29" sqref="C29"/>
    </sheetView>
  </sheetViews>
  <sheetFormatPr baseColWidth="10" defaultColWidth="9" defaultRowHeight="14"/>
  <cols>
    <col width="16" customWidth="1" style="13" min="1" max="1"/>
    <col width="22" customWidth="1" style="13" min="2" max="2"/>
    <col width="61" customWidth="1" style="13" min="3" max="3"/>
    <col width="66.19921875" customWidth="1" style="13" min="4" max="4"/>
    <col width="14" customWidth="1" style="13" min="5" max="5"/>
    <col width="12" customWidth="1" style="13" min="6" max="6"/>
  </cols>
  <sheetData>
    <row r="1" ht="30" customHeight="1" s="13">
      <c r="A1" s="1" t="inlineStr">
        <is>
          <t>教育｜口試自我檢核表　v1</t>
        </is>
      </c>
    </row>
    <row r="2" ht="28" customHeight="1" s="13">
      <c r="A2" s="22" t="inlineStr">
        <is>
          <t>每模擬一次記一列。被問倒的地方就是接下來要補的，不用寫得漂亮。淡黃色的儲存格是要你填或勾的，其餘是給你讀的。</t>
        </is>
      </c>
    </row>
    <row r="3" ht="40" customHeight="1" s="13"/>
    <row r="4" ht="24" customHeight="1" s="13">
      <c r="A4" s="2" t="inlineStr">
        <is>
          <t>模擬追問紀錄</t>
        </is>
      </c>
    </row>
    <row r="5" ht="26" customHeight="1" s="13">
      <c r="A5" s="21" t="inlineStr">
        <is>
          <t>日期</t>
        </is>
      </c>
      <c r="B5" s="21" t="inlineStr">
        <is>
          <t>追問類型</t>
        </is>
      </c>
      <c r="C5" s="21" t="inlineStr">
        <is>
          <t>被問倒的地方</t>
        </is>
      </c>
      <c r="D5" s="21" t="inlineStr">
        <is>
          <t>我的下一步</t>
        </is>
      </c>
      <c r="E5" s="21" t="inlineStr">
        <is>
          <t>已改進</t>
        </is>
      </c>
    </row>
    <row r="6" ht="32" customHeight="1" s="13">
      <c r="A6" s="11" t="n"/>
      <c r="B6" s="19" t="n"/>
      <c r="C6" s="19" t="n"/>
      <c r="D6" s="19" t="n"/>
      <c r="E6" s="19" t="n"/>
    </row>
    <row r="7" ht="32" customHeight="1" s="13">
      <c r="A7" s="11" t="n"/>
      <c r="B7" s="19" t="n"/>
      <c r="C7" s="19" t="n"/>
      <c r="D7" s="19" t="n"/>
      <c r="E7" s="19" t="n"/>
    </row>
    <row r="8" ht="32" customHeight="1" s="13">
      <c r="A8" s="11" t="n"/>
      <c r="B8" s="19" t="n"/>
      <c r="C8" s="19" t="n"/>
      <c r="D8" s="19" t="n"/>
      <c r="E8" s="19" t="n"/>
    </row>
    <row r="9" ht="32" customHeight="1" s="13">
      <c r="A9" s="11" t="n"/>
      <c r="B9" s="19" t="n"/>
      <c r="C9" s="19" t="n"/>
      <c r="D9" s="19" t="n"/>
      <c r="E9" s="19" t="n"/>
    </row>
    <row r="10" ht="32" customHeight="1" s="13">
      <c r="A10" s="11" t="n"/>
      <c r="B10" s="19" t="n"/>
      <c r="C10" s="19" t="n"/>
      <c r="D10" s="19" t="n"/>
      <c r="E10" s="19" t="n"/>
    </row>
    <row r="11" ht="32" customHeight="1" s="13">
      <c r="A11" s="11" t="n"/>
      <c r="B11" s="19" t="n"/>
      <c r="C11" s="19" t="n"/>
      <c r="D11" s="19" t="n"/>
      <c r="E11" s="19" t="n"/>
    </row>
    <row r="12" ht="32" customHeight="1" s="13">
      <c r="A12" s="11" t="n"/>
      <c r="B12" s="19" t="n"/>
      <c r="C12" s="19" t="n"/>
      <c r="D12" s="19" t="n"/>
      <c r="E12" s="19" t="n"/>
    </row>
    <row r="13" ht="32" customHeight="1" s="13">
      <c r="A13" s="11" t="n"/>
      <c r="B13" s="19" t="n"/>
      <c r="C13" s="19" t="n"/>
      <c r="D13" s="19" t="n"/>
      <c r="E13" s="19" t="n"/>
    </row>
    <row r="14" ht="32" customHeight="1" s="13">
      <c r="A14" s="11" t="n"/>
      <c r="B14" s="19" t="n"/>
      <c r="C14" s="19" t="n"/>
      <c r="D14" s="19" t="n"/>
      <c r="E14" s="19" t="n"/>
    </row>
    <row r="15" ht="32" customHeight="1" s="13">
      <c r="A15" s="11" t="n"/>
      <c r="B15" s="19" t="n"/>
      <c r="C15" s="19" t="n"/>
      <c r="D15" s="19" t="n"/>
      <c r="E15" s="19" t="n"/>
    </row>
    <row r="16" ht="42" customHeight="1" s="13">
      <c r="A16" s="10" t="inlineStr">
        <is>
          <t>自己想過和被別人連續追問是兩種壓力。找學長姐、同學或顧問各做一輪，每一類都要問到。</t>
        </is>
      </c>
    </row>
    <row r="17" ht="14" customHeight="1" s="13"/>
    <row r="18" ht="28" customHeight="1" s="13">
      <c r="A18" s="7" t="inlineStr">
        <is>
          <t># 搭配文章：教育研究所口試：政策題、個案題與方法答辯怎麼準備　https://tbd-edu.com/pages/resources/education-graduate-oral.html</t>
        </is>
      </c>
    </row>
    <row r="19" ht="28" customHeight="1" s="13">
      <c r="A19" s="7" t="inlineStr">
        <is>
          <t># TBD Studio ｜ https://tbd-edu.com/</t>
        </is>
      </c>
    </row>
  </sheetData>
  <mergeCells count="2">
    <mergeCell ref="A2:E2"/>
    <mergeCell ref="A16:E16"/>
  </mergeCells>
  <dataValidations count="2">
    <dataValidation sqref="E6:E15" showDropDown="0" showInputMessage="0" showErrorMessage="0" allowBlank="0" type="list">
      <formula1>"是,還沒"</formula1>
    </dataValidation>
    <dataValidation sqref="B6:B15" showDropDown="0" showInputMessage="0" showErrorMessage="0" allowBlank="0" type="list">
      <formula1>"研究計畫本身,研究方法,政策與時事,個案與情境"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2026-09-12T00:34:30Z</dcterms:created>
  <dcterms:modified xmlns:dcterms="http://purl.org/dc/terms/" xmlns:xsi="http://www.w3.org/2001/XMLSchema-instance" xsi:type="dcterms:W3CDTF">2026-09-24T14:04:38Z</dcterms:modified>
  <cp:lastModifiedBy>TBD Studio</cp:lastModifiedBy>
</cp:coreProperties>
</file>