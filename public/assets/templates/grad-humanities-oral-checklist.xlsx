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5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5" fillId="2" borderId="0" pivotButton="0" quotePrefix="0" xfId="0"/>
    <xf numFmtId="0" fontId="6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2" fillId="0" borderId="1" pivotButton="0" quotePrefix="0" xfId="0"/>
    <xf numFmtId="0" fontId="10" fillId="0" borderId="1" applyAlignment="1" pivotButton="0" quotePrefix="0" xfId="0">
      <alignment vertical="center"/>
    </xf>
    <xf numFmtId="0" fontId="7" fillId="4" borderId="2" applyAlignment="1" pivotButton="0" quotePrefix="0" xfId="0">
      <alignment vertical="top" wrapText="1"/>
    </xf>
    <xf numFmtId="49" fontId="7" fillId="0" borderId="2" applyAlignment="1" pivotButton="0" quotePrefix="0" xfId="0">
      <alignment vertical="top" wrapText="1"/>
    </xf>
    <xf numFmtId="9" fontId="7" fillId="0" borderId="2" applyAlignment="1" pivotButton="0" quotePrefix="0" xfId="0">
      <alignment vertical="top" wrapText="1"/>
    </xf>
    <xf numFmtId="0" fontId="9" fillId="0" borderId="5" applyAlignment="1" pivotButton="0" quotePrefix="0" xfId="0">
      <alignment horizontal="left" vertical="top" wrapText="1"/>
    </xf>
    <xf numFmtId="14" fontId="7" fillId="4" borderId="2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3" pivotButton="0" quotePrefix="0" xfId="0"/>
    <xf numFmtId="0" fontId="7" fillId="4" borderId="2" applyAlignment="1" pivotButton="0" quotePrefix="0" xfId="0">
      <alignment vertical="top" wrapText="1"/>
    </xf>
    <xf numFmtId="0" fontId="6" fillId="3" borderId="2" applyAlignment="1" pivotButton="0" quotePrefix="0" xfId="0">
      <alignment vertical="center" wrapText="1"/>
    </xf>
    <xf numFmtId="0" fontId="0" fillId="0" borderId="4" pivotButton="0" quotePrefix="0" xfId="0"/>
    <xf numFmtId="0" fontId="4" fillId="0" borderId="5" applyAlignment="1" pivotButton="0" quotePrefix="0" xfId="0">
      <alignment horizontal="left" vertical="top" wrapText="1"/>
    </xf>
    <xf numFmtId="0" fontId="8" fillId="0" borderId="5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zoomScale="75" workbookViewId="0">
      <pane ySplit="2" topLeftCell="A3" activePane="bottomLeft" state="frozen"/>
      <selection pane="bottomLeft" activeCell="B99" sqref="B99"/>
    </sheetView>
  </sheetViews>
  <sheetFormatPr baseColWidth="10" defaultColWidth="9" defaultRowHeight="14"/>
  <cols>
    <col width="46.19921875" customWidth="1" style="13" min="1" max="1"/>
    <col width="79.19921875" customWidth="1" style="13" min="2" max="2"/>
    <col width="42.59765625" customWidth="1" style="13" min="3" max="3"/>
    <col width="14" customWidth="1" style="13" min="4" max="4"/>
    <col width="12" customWidth="1" style="13" min="5" max="5"/>
    <col width="13" customWidth="1" style="13" min="6" max="6"/>
  </cols>
  <sheetData>
    <row r="1" ht="30" customHeight="1" s="13">
      <c r="A1" s="1" t="inlineStr">
        <is>
          <t>人文與社會科學｜口試自我檢核表：研究計畫答辯　v1</t>
        </is>
      </c>
    </row>
    <row r="2" ht="28" customHeight="1" s="13">
      <c r="A2" s="22" t="inlineStr">
        <is>
          <t>先讀這頁，大約7分鐘。這份工具有五個分頁，主體是題庫與打勾。</t>
        </is>
      </c>
    </row>
    <row r="3" ht="40" customHeight="1" s="13"/>
    <row r="4" ht="24" customHeight="1" s="13">
      <c r="A4" s="2" t="inlineStr">
        <is>
          <t>這份表是什麼、不是什麼</t>
        </is>
      </c>
    </row>
    <row r="5" ht="26" customHeight="1" s="13">
      <c r="A5" s="20" t="inlineStr">
        <is>
          <t>它是</t>
        </is>
      </c>
      <c r="B5" s="20" t="inlineStr">
        <is>
          <t>它不是</t>
        </is>
      </c>
    </row>
    <row r="6" ht="79" customHeight="1" s="13">
      <c r="A6" s="17" t="inlineStr">
        <is>
          <t>一面鏡子。照出你能不能為計畫裡的每一個判斷辯護，哪些題目還答不出來。</t>
        </is>
      </c>
      <c r="B6" s="17" t="inlineStr">
        <is>
          <t>研究計畫的朗讀稿。把計畫濃縮成投影片背熟、希望教授照著問，是最常見的準備誤區。</t>
        </is>
      </c>
    </row>
    <row r="7" ht="32" customHeight="1" s="13">
      <c r="A7" s="17" t="inlineStr">
        <is>
          <t>一次二十分鐘就做得完的自我盤點。</t>
        </is>
      </c>
      <c r="B7" s="17" t="inlineStr">
        <is>
          <t>口才訓練。這裡不教你怎麼講，只告訴你哪一題還沒想通。</t>
        </is>
      </c>
    </row>
    <row r="8" ht="32" customHeight="1" s="13">
      <c r="A8" s="17" t="inlineStr">
        <is>
          <t>可以重複用的。每模擬一次口試就回來打一次。</t>
        </is>
      </c>
      <c r="B8" s="17" t="inlineStr">
        <is>
          <t>一次性的清單。全部打完勾不是終點，是可以上場的起點。</t>
        </is>
      </c>
    </row>
    <row r="9" ht="40" customHeight="1" s="13"/>
    <row r="10" ht="24" customHeight="1" s="13">
      <c r="A10" s="2" t="inlineStr">
        <is>
          <t>口試是學術對話，不是朗讀計畫</t>
        </is>
      </c>
    </row>
    <row r="11" ht="32" customHeight="1" s="13">
      <c r="A11" s="23" t="inlineStr">
        <is>
          <t>教授想確認的不是「你永遠不會錯」，而是你能否清楚論證、回應質疑，並在必要時調整自己的主張。</t>
        </is>
      </c>
    </row>
    <row r="12" ht="40" customHeight="1" s="13"/>
    <row r="13" ht="26" customHeight="1" s="13">
      <c r="A13" s="20" t="inlineStr">
        <is>
          <t>教授關心的五個問題</t>
        </is>
      </c>
      <c r="B13" s="20" t="inlineStr">
        <is>
          <t>意思</t>
        </is>
      </c>
    </row>
    <row r="14" ht="32" customHeight="1" s="13">
      <c r="A14" s="17" t="inlineStr">
        <is>
          <t>你為什麼提出這個問題？</t>
        </is>
      </c>
      <c r="B14" s="17" t="inlineStr">
        <is>
          <t>問題意識從哪裡來，不是題材從哪裡來。</t>
        </is>
      </c>
    </row>
    <row r="15" ht="32" customHeight="1" s="13">
      <c r="A15" s="17" t="inlineStr">
        <is>
          <t>你如何看待既有研究？</t>
        </is>
      </c>
      <c r="B15" s="17" t="inlineStr">
        <is>
          <t>文獻是拿來對話的，不是拿來充篇幅的。</t>
        </is>
      </c>
    </row>
    <row r="16" ht="32" customHeight="1" s="13">
      <c r="A16" s="17" t="inlineStr">
        <is>
          <t>你的材料與方法能不能回答這個問題？</t>
        </is>
      </c>
      <c r="B16" s="17" t="inlineStr">
        <is>
          <t>選材標準、是否足夠、有沒有偏差。</t>
        </is>
      </c>
    </row>
    <row r="17" ht="32" customHeight="1" s="13">
      <c r="A17" s="17" t="inlineStr">
        <is>
          <t>你的論點有什麼限制？</t>
        </is>
      </c>
      <c r="B17" s="17" t="inlineStr">
        <is>
          <t>結論適用到哪裡為止。</t>
        </is>
      </c>
    </row>
    <row r="18" ht="32" customHeight="1" s="13">
      <c r="A18" s="17" t="inlineStr">
        <is>
          <t>面對反例時，你能不能修正？</t>
        </is>
      </c>
      <c r="B18" s="17" t="inlineStr">
        <is>
          <t>在對話中調整主張，是研究能力的一部分。</t>
        </is>
      </c>
    </row>
    <row r="19" ht="40" customHeight="1" s="13"/>
    <row r="20" ht="32" customHeight="1" s="13">
      <c r="A20" s="24" t="inlineStr">
        <is>
          <t>這個判準會改變準備方式。與其背熟計畫的每一段，不如針對計畫裡每一個判斷，準備好「為什麼是這個、而不是那個」的理由。</t>
        </is>
      </c>
    </row>
    <row r="21" ht="40" customHeight="1" s="13"/>
    <row r="22" ht="24" customHeight="1" s="13">
      <c r="A22" s="2" t="inlineStr">
        <is>
          <t>五步答題框架</t>
        </is>
      </c>
    </row>
    <row r="23" ht="26" customHeight="1" s="13">
      <c r="A23" s="20" t="inlineStr">
        <is>
          <t>步驟</t>
        </is>
      </c>
      <c r="B23" s="20" t="inlineStr">
        <is>
          <t>作用</t>
        </is>
      </c>
    </row>
    <row r="24" ht="32" customHeight="1" s="13">
      <c r="A24" s="17" t="inlineStr">
        <is>
          <t>重述問題</t>
        </is>
      </c>
      <c r="B24" s="17" t="inlineStr">
        <is>
          <t>確認聽懂，並替自己爭取幾秒。</t>
        </is>
      </c>
    </row>
    <row r="25" ht="32" customHeight="1" s="13">
      <c r="A25" s="17" t="inlineStr">
        <is>
          <t>提出核心判斷</t>
        </is>
      </c>
      <c r="B25" s="17" t="inlineStr">
        <is>
          <t>先給立場，不要鋪陳到最後才講。</t>
        </is>
      </c>
    </row>
    <row r="26" ht="32" customHeight="1" s="13">
      <c r="A26" s="17" t="inlineStr">
        <is>
          <t>說明依據</t>
        </is>
      </c>
      <c r="B26" s="17" t="inlineStr">
        <is>
          <t>文獻、材料或邏輯，擇一即可。</t>
        </is>
      </c>
    </row>
    <row r="27" ht="32" customHeight="1" s="13">
      <c r="A27" s="17" t="inlineStr">
        <is>
          <t>承認限制</t>
        </is>
      </c>
      <c r="B27" s="17" t="inlineStr">
        <is>
          <t>說明結論適用到哪裡為止。</t>
        </is>
      </c>
    </row>
    <row r="28" ht="32" customHeight="1" s="13">
      <c r="A28" s="17" t="inlineStr">
        <is>
          <t>補充修正方向</t>
        </is>
      </c>
      <c r="B28" s="17" t="inlineStr">
        <is>
          <t>若要處理這個情況，我會怎麼做。</t>
        </is>
      </c>
    </row>
    <row r="29" ht="40" customHeight="1" s="13"/>
    <row r="30" ht="24" customHeight="1" s="13">
      <c r="A30" s="2" t="inlineStr">
        <is>
          <t>面對反對意見，兩種反應都不是好的學術回應</t>
        </is>
      </c>
    </row>
    <row r="31" ht="26" customHeight="1" s="13">
      <c r="A31" s="20" t="inlineStr">
        <is>
          <t>反應</t>
        </is>
      </c>
      <c r="B31" s="20" t="inlineStr">
        <is>
          <t>為什麼不行</t>
        </is>
      </c>
    </row>
    <row r="32" ht="46" customHeight="1" s="13">
      <c r="A32" s="17" t="inlineStr">
        <is>
          <t>全盤接受</t>
        </is>
      </c>
      <c r="B32" s="17" t="inlineStr">
        <is>
          <t>「老師說得對，我會改。」等於承認你對自己的計畫沒有判斷。</t>
        </is>
      </c>
    </row>
    <row r="33" ht="32" customHeight="1" s="13">
      <c r="A33" s="17" t="inlineStr">
        <is>
          <t>全盤防衛</t>
        </is>
      </c>
      <c r="B33" s="17" t="inlineStr">
        <is>
          <t>「我認為沒有這個問題。」顯示你不能接受批評。</t>
        </is>
      </c>
    </row>
    <row r="34" ht="40" customHeight="1" s="13"/>
    <row r="35" ht="42" customHeight="1" s="13">
      <c r="A35" s="10" t="inlineStr">
        <is>
          <t>好的回應同時做到三件事：承認質疑有效的範圍、說明自己為何仍如此設計、給出可行的處理方式。句型在「題庫與素材」分頁第三節。</t>
        </is>
      </c>
    </row>
    <row r="36" ht="40" customHeight="1" s="13"/>
    <row r="37" ht="24" customHeight="1" s="13">
      <c r="A37" s="2" t="inlineStr">
        <is>
          <t>不要硬湊學者、理論或史實</t>
        </is>
      </c>
    </row>
    <row r="38" ht="32" customHeight="1" s="13">
      <c r="A38" s="23" t="inlineStr">
        <is>
          <t>人文社科的口試委員對自己領域的文獻非常熟，錯誤的引用會立刻被聽出來。損害的不只是那一題，它會讓委員開始懷疑你其他的引用。</t>
        </is>
      </c>
    </row>
    <row r="39" ht="40" customHeight="1" s="13"/>
    <row r="40" ht="32" customHeight="1" s="13">
      <c r="A40" s="24" t="inlineStr">
        <is>
          <t>改用四步：坦白目前掌握的範圍、說明初步判斷、指出需要查證的材料、提出後續閱讀或研究方法。這個回答顯示的是思考路徑，不是知識庫。</t>
        </is>
      </c>
    </row>
    <row r="41" ht="40" customHeight="1" s="13"/>
    <row r="42" ht="24" customHeight="1" s="13">
      <c r="A42" s="2" t="inlineStr">
        <is>
          <t>什麼時候用，可以用幾次</t>
        </is>
      </c>
    </row>
    <row r="43" ht="56" customHeight="1" s="13">
      <c r="A43" s="24" t="inlineStr">
        <is>
          <t>送件之後到口試前。第一次在送件後一週內打，那時候題庫會有一半是空的，那正是它的用途。
之後每模擬一次口試就回來打一次，口試前三天打最後一次。</t>
        </is>
      </c>
    </row>
    <row r="44" ht="40" customHeight="1" s="13"/>
    <row r="45" ht="24" customHeight="1" s="13">
      <c r="A45" s="2" t="inlineStr">
        <is>
          <t>五個分頁的分工</t>
        </is>
      </c>
    </row>
    <row r="46" ht="26" customHeight="1" s="13">
      <c r="A46" s="20" t="inlineStr">
        <is>
          <t>分頁</t>
        </is>
      </c>
      <c r="B46" s="20" t="inlineStr">
        <is>
          <t>做什麼</t>
        </is>
      </c>
    </row>
    <row r="47" ht="46" customHeight="1" s="13">
      <c r="A47" s="17" t="inlineStr">
        <is>
          <t>先讀這裡</t>
        </is>
      </c>
      <c r="B47" s="17" t="inlineStr">
        <is>
          <t>你正在讀的這頁。教授在確認什麼、答題框架、怎麼打勾、卡關怎麼辦。</t>
        </is>
      </c>
    </row>
    <row r="48" ht="48" customHeight="1" s="13">
      <c r="A48" s="17" t="inlineStr">
        <is>
          <t>題庫與素材</t>
        </is>
      </c>
      <c r="B48" s="17" t="inlineStr">
        <is>
          <t>要動手的地方。十七題各寫要點並打兩個勾，再填答題框架、三個質疑、三種被質疑時的句型。</t>
        </is>
      </c>
    </row>
    <row r="49" ht="46" customHeight="1" s="13">
      <c r="A49" s="17" t="inlineStr">
        <is>
          <t>檢核表</t>
        </is>
      </c>
      <c r="B49" s="17" t="inlineStr">
        <is>
          <t>3 區共 18 項，逐項打勾。每一項旁邊都寫好了沒打勾的話下一步做什麼。</t>
        </is>
      </c>
    </row>
    <row r="50" ht="32" customHeight="1" s="13">
      <c r="A50" s="17" t="inlineStr">
        <is>
          <t>我到哪了</t>
        </is>
      </c>
      <c r="B50" s="17" t="inlineStr">
        <is>
          <t>打完之後看這頁。5 區完成度與還沒打勾的數量。</t>
        </is>
      </c>
    </row>
    <row r="51" ht="48" customHeight="1" s="13">
      <c r="A51" s="17" t="inlineStr">
        <is>
          <t>模擬追問紀錄</t>
        </is>
      </c>
      <c r="B51" s="17" t="inlineStr">
        <is>
          <t>每找人模擬一次就記一列。被問倒的地方就是接下來要補的，不用寫得漂亮。</t>
        </is>
      </c>
    </row>
    <row r="52" ht="40" customHeight="1" s="13"/>
    <row r="53" ht="24" customHeight="1" s="13">
      <c r="A53" s="2" t="inlineStr">
        <is>
          <t>四個步驟</t>
        </is>
      </c>
    </row>
    <row r="54" ht="26" customHeight="1" s="13">
      <c r="A54" s="20" t="inlineStr">
        <is>
          <t>步驟</t>
        </is>
      </c>
      <c r="B54" s="20" t="inlineStr">
        <is>
          <t>做什麼</t>
        </is>
      </c>
    </row>
    <row r="55" ht="46" customHeight="1" s="13">
      <c r="A55" s="17" t="inlineStr">
        <is>
          <t>第 1 步</t>
        </is>
      </c>
      <c r="B55" s="17" t="inlineStr">
        <is>
          <t>切到「題庫與素材」分頁，十七題先寫答案要點。寫得出來就勾「寫出答案」。</t>
        </is>
      </c>
    </row>
    <row r="56" ht="46" customHeight="1" s="13">
      <c r="A56" s="17" t="inlineStr">
        <is>
          <t>第 2 步</t>
        </is>
      </c>
      <c r="B56" s="17" t="inlineStr">
        <is>
          <t>填五步框架的練習備註、三個預期的質疑、三種被質疑時的句型。</t>
        </is>
      </c>
    </row>
    <row r="57" ht="48" customHeight="1" s="13">
      <c r="A57" s="17" t="inlineStr">
        <is>
          <t>第 3 步</t>
        </is>
      </c>
      <c r="B57" s="17" t="inlineStr">
        <is>
          <t>找人做連續追問的模擬，講得出來的題目勾「練過口說」。再切到「檢核表」3 區打勾。</t>
        </is>
      </c>
    </row>
    <row r="58" ht="46" customHeight="1" s="13">
      <c r="A58" s="17" t="inlineStr">
        <is>
          <t>第 4 步</t>
        </is>
      </c>
      <c r="B58" s="17" t="inlineStr">
        <is>
          <t>切到「我到哪了」看哪一區最短，回頭補沒打勾的那幾項。</t>
        </is>
      </c>
    </row>
    <row r="59" ht="40" customHeight="1" s="13"/>
    <row r="60" ht="24" customHeight="1" s="13">
      <c r="A60" s="2" t="inlineStr">
        <is>
          <t>五個區塊各在檢查什麼</t>
        </is>
      </c>
    </row>
    <row r="61" ht="26" customHeight="1" s="13">
      <c r="A61" s="20" t="inlineStr">
        <is>
          <t>區塊</t>
        </is>
      </c>
      <c r="B61" s="20" t="inlineStr">
        <is>
          <t>幾項</t>
        </is>
      </c>
      <c r="C61" s="20" t="inlineStr">
        <is>
          <t>在檢查什麼</t>
        </is>
      </c>
    </row>
    <row r="62" ht="46" customHeight="1" s="13">
      <c r="A62" s="17" t="inlineStr">
        <is>
          <t>題庫：寫出答案</t>
        </is>
      </c>
      <c r="B62" s="17" t="n">
        <v>17</v>
      </c>
      <c r="C62" s="17" t="inlineStr">
        <is>
          <t>四類追問十七題，寫得出答案要點了沒。</t>
        </is>
      </c>
    </row>
    <row r="63" ht="46" customHeight="1" s="13">
      <c r="A63" s="17" t="inlineStr">
        <is>
          <t>題庫：練過口說</t>
        </is>
      </c>
      <c r="B63" s="17" t="n">
        <v>17</v>
      </c>
      <c r="C63" s="17" t="inlineStr">
        <is>
          <t>同樣十七題，被連續追問時講得出來了沒。</t>
        </is>
      </c>
    </row>
    <row r="64" ht="46" customHeight="1" s="13">
      <c r="A64" s="17" t="inlineStr">
        <is>
          <t>回應質疑與不知道的問題</t>
        </is>
      </c>
      <c r="B64" s="17" t="n">
        <v>6</v>
      </c>
      <c r="C64" s="17" t="inlineStr">
        <is>
          <t>句型寫過了沒、四步演練過了沒。</t>
        </is>
      </c>
    </row>
    <row r="65" ht="46" customHeight="1" s="13">
      <c r="A65" s="17" t="inlineStr">
        <is>
          <t>上場前檢核</t>
        </is>
      </c>
      <c r="B65" s="17" t="n">
        <v>6</v>
      </c>
      <c r="C65" s="17" t="inlineStr">
        <is>
          <t>最後那道閘門。這六項沒到就還不能上場。</t>
        </is>
      </c>
    </row>
    <row r="66" ht="48" customHeight="1" s="13">
      <c r="A66" s="17" t="inlineStr">
        <is>
          <t>常見失分點</t>
        </is>
      </c>
      <c r="B66" s="17" t="n">
        <v>6</v>
      </c>
      <c r="C66" s="17" t="inlineStr">
        <is>
          <t>有沒有踩到最常見的六個失分回答。</t>
        </is>
      </c>
    </row>
    <row r="67" ht="40" customHeight="1" s="13"/>
    <row r="68" ht="24" customHeight="1" s="13">
      <c r="A68" s="2" t="inlineStr">
        <is>
          <t>什麼情況才算 ✓</t>
        </is>
      </c>
    </row>
    <row r="69" ht="32" customHeight="1" s="13">
      <c r="A69" s="24" t="inlineStr">
        <is>
          <t>打勾之前先問自己一句：如果現在有人要我當場講，我講得出來嗎。講得出來才算 ✓，覺得「應該會吧」不算。</t>
        </is>
      </c>
    </row>
    <row r="70" ht="40" customHeight="1" s="13"/>
    <row r="71" ht="32" customHeight="1" s="13">
      <c r="A71" s="23" t="inlineStr">
        <is>
          <t>這張表只有你自己會看。寬鬆給分唯一的效果，是讓你在口試現場才發現缺口。留白不是失敗，留白就是你接下來的工作清單。</t>
        </is>
      </c>
    </row>
    <row r="72" ht="40" customHeight="1" s="13"/>
    <row r="73" ht="42" customHeight="1" s="13">
      <c r="A73" s="10" t="inlineStr">
        <is>
          <t>「常見失分點」那一區的語意是相反的：✓ 代表「我確認自己不會這樣答」。表頭上有標。</t>
        </is>
      </c>
    </row>
    <row r="74" ht="40" customHeight="1" s="13"/>
    <row r="75" ht="24" customHeight="1" s="13">
      <c r="A75" s="2" t="inlineStr">
        <is>
          <t>結果怎麼看</t>
        </is>
      </c>
    </row>
    <row r="76" ht="26" customHeight="1" s="13">
      <c r="A76" s="20" t="inlineStr">
        <is>
          <t>你看到的</t>
        </is>
      </c>
      <c r="B76" s="20" t="inlineStr">
        <is>
          <t>代表什麼</t>
        </is>
      </c>
      <c r="C76" s="20" t="inlineStr">
        <is>
          <t>接下來</t>
        </is>
      </c>
    </row>
    <row r="77" ht="67" customHeight="1" s="13">
      <c r="A77" s="17" t="inlineStr">
        <is>
          <t>幾乎全空</t>
        </is>
      </c>
      <c r="B77" s="17" t="inlineStr">
        <is>
          <t>這不是壞消息，這是你現在的起點。</t>
        </is>
      </c>
      <c r="C77" s="17" t="inlineStr">
        <is>
          <t>從「上場前檢核」那六項往回推，一項對應一件要做的事。</t>
        </is>
      </c>
    </row>
    <row r="78" ht="70" customHeight="1" s="13">
      <c r="A78" s="17" t="inlineStr">
        <is>
          <t>寫出答案滿了，練過口說很空</t>
        </is>
      </c>
      <c r="B78" s="17" t="inlineStr">
        <is>
          <t>你想通了，但還沒被打斷過。</t>
        </is>
      </c>
      <c r="C78" s="17" t="inlineStr">
        <is>
          <t>找人做連續追問的模擬。人文社科的口試幾乎必然會被打斷，練到被打斷也能維持邏輯。</t>
        </is>
      </c>
    </row>
    <row r="79" ht="67" customHeight="1" s="13">
      <c r="A79" s="17" t="inlineStr">
        <is>
          <t>材料與方法那五題空著</t>
        </is>
      </c>
      <c r="B79" s="17" t="inlineStr">
        <is>
          <t>計畫最容易被攻的地方沒有防守。</t>
        </is>
      </c>
      <c r="C79" s="17" t="inlineStr">
        <is>
          <t>先把選材標準、是否足夠、偏差、替代方案四件事想清楚。</t>
        </is>
      </c>
    </row>
    <row r="80" ht="67" customHeight="1" s="13">
      <c r="A80" s="17" t="inlineStr">
        <is>
          <t>契合度那四題空著</t>
        </is>
      </c>
      <c r="B80" s="17" t="inlineStr">
        <is>
          <t>選校那一層做得不夠細。</t>
        </is>
      </c>
      <c r="C80" s="17" t="inlineStr">
        <is>
          <t>回去查取徑、課程、教授。沒查過的東西，現場講不出來。</t>
        </is>
      </c>
    </row>
    <row r="81" ht="32" customHeight="1" s="13">
      <c r="A81" s="17" t="inlineStr">
        <is>
          <t>上場前檢核沒滿</t>
        </is>
      </c>
      <c r="B81" s="17" t="inlineStr">
        <is>
          <t>還不能上場。</t>
        </is>
      </c>
      <c r="C81" s="17" t="inlineStr">
        <is>
          <t>先補那六項，其他區暫時放著。</t>
        </is>
      </c>
    </row>
    <row r="82" ht="67" customHeight="1" s="13">
      <c r="A82" s="17" t="inlineStr">
        <is>
          <t>52 項全滿</t>
        </is>
      </c>
      <c r="B82" s="17" t="inlineStr">
        <is>
          <t>準備到位了。</t>
        </is>
      </c>
      <c r="C82" s="17" t="inlineStr">
        <is>
          <t>口試前三天再對著人講一次一分鐘與三分鐘版本，計時。</t>
        </is>
      </c>
    </row>
    <row r="83" ht="40" customHeight="1" s="13"/>
    <row r="84" ht="24" customHeight="1" s="13">
      <c r="A84" s="2" t="inlineStr">
        <is>
          <t>沒打勾的，去哪裡補</t>
        </is>
      </c>
    </row>
    <row r="85" ht="26" customHeight="1" s="13">
      <c r="A85" s="20" t="inlineStr">
        <is>
          <t>缺的是</t>
        </is>
      </c>
      <c r="B85" s="20" t="inlineStr">
        <is>
          <t>去哪裡補</t>
        </is>
      </c>
      <c r="C85" s="20" t="inlineStr">
        <is>
          <t>要補成什麼樣子</t>
        </is>
      </c>
    </row>
    <row r="86" ht="67" customHeight="1" s="13">
      <c r="A86" s="17" t="inlineStr">
        <is>
          <t>某一題寫不出答案</t>
        </is>
      </c>
      <c r="B86" s="17" t="inlineStr">
        <is>
          <t>回研究計畫本身</t>
        </is>
      </c>
      <c r="C86" s="17" t="inlineStr">
        <is>
          <t>那題就是你目前最大的風險。先想通，再寫要點，不要硬背。</t>
        </is>
      </c>
    </row>
    <row r="87" ht="67" customHeight="1" s="13">
      <c r="A87" s="17" t="inlineStr">
        <is>
          <t>研究問題太大答不出縮小方案</t>
        </is>
      </c>
      <c r="B87" s="17" t="inlineStr">
        <is>
          <t>研究計畫</t>
        </is>
      </c>
      <c r="C87" s="17" t="inlineStr">
        <is>
          <t>先想好從哪個時期或哪一類材料切入，其他留在討論或未來研究。</t>
        </is>
      </c>
    </row>
    <row r="88" ht="67" customHeight="1" s="13">
      <c r="A88" s="17" t="inlineStr">
        <is>
          <t>理論說不出為什麼用</t>
        </is>
      </c>
      <c r="B88" s="17" t="inlineStr">
        <is>
          <t>文獻與理論</t>
        </is>
      </c>
      <c r="C88" s="17" t="inlineStr">
        <is>
          <t>「它讓我看見什麼是別的框架看不見的」。掛名字當裝飾一定被追問。</t>
        </is>
      </c>
    </row>
    <row r="89" ht="67" customHeight="1" s="13">
      <c r="A89" s="17" t="inlineStr">
        <is>
          <t>選材標準說不清</t>
        </is>
      </c>
      <c r="B89" s="17" t="inlineStr">
        <is>
          <t>材料與方法</t>
        </is>
      </c>
      <c r="C89" s="17" t="inlineStr">
        <is>
          <t>為什麼是這些文本、案例或受訪者，不是別的。</t>
        </is>
      </c>
    </row>
    <row r="90" ht="67" customHeight="1" s="13">
      <c r="A90" s="17" t="inlineStr">
        <is>
          <t>被質疑就重述觀點</t>
        </is>
      </c>
      <c r="B90" s="17" t="inlineStr">
        <is>
          <t>被質疑時的句型</t>
        </is>
      </c>
      <c r="C90" s="17" t="inlineStr">
        <is>
          <t>承認質疑成立的條件、說明計畫聚焦的範圍、給出處理方式。</t>
        </is>
      </c>
    </row>
    <row r="91" ht="67" customHeight="1" s="13">
      <c r="A91" s="17" t="inlineStr">
        <is>
          <t>不知道的問題會慌</t>
        </is>
      </c>
      <c r="B91" s="17" t="inlineStr">
        <is>
          <t>遇到不知道的問題四步</t>
        </is>
      </c>
      <c r="C91" s="17" t="inlineStr">
        <is>
          <t>坦白掌握範圍、初步判斷、需要查證的材料、後續閱讀。演練過一次。</t>
        </is>
      </c>
    </row>
    <row r="92" ht="67" customHeight="1" s="13">
      <c r="A92" s="17" t="inlineStr">
        <is>
          <t>為什麼選本所答不好</t>
        </is>
      </c>
      <c r="B92" s="17" t="inlineStr">
        <is>
          <t>選校那一層</t>
        </is>
      </c>
      <c r="C92" s="17" t="inlineStr">
        <is>
          <t>具體到取徑、課程、資源，說得出想找哪位教授與理由。</t>
        </is>
      </c>
    </row>
    <row r="93" ht="67" customHeight="1" s="13">
      <c r="A93" s="17" t="inlineStr">
        <is>
          <t>沒有一分鐘與三分鐘版本</t>
        </is>
      </c>
      <c r="B93" s="17" t="inlineStr">
        <is>
          <t>研究說明</t>
        </is>
      </c>
      <c r="C93" s="17" t="inlineStr">
        <is>
          <t>兩個版本都練到不用逐字稿。逐字背講稿一旦被打斷就接不回來。</t>
        </is>
      </c>
    </row>
    <row r="94" ht="40" customHeight="1" s="13"/>
    <row r="95" ht="42" customHeight="1" s="13">
      <c r="A95" s="10" t="inlineStr">
        <is>
          <t>要寫成完整答案的部分寫在你自己的筆記裡，這裡只負責告訴你缺什麼。</t>
        </is>
      </c>
    </row>
    <row r="96" ht="40" customHeight="1" s="13"/>
    <row r="97" ht="24" customHeight="1" s="13">
      <c r="A97" s="2" t="inlineStr">
        <is>
          <t>卡關時</t>
        </is>
      </c>
    </row>
    <row r="98" ht="26" customHeight="1" s="13">
      <c r="A98" s="20" t="inlineStr">
        <is>
          <t>狀況</t>
        </is>
      </c>
      <c r="B98" s="20" t="inlineStr">
        <is>
          <t>怎麼辦</t>
        </is>
      </c>
    </row>
    <row r="99" ht="114" customHeight="1" s="13">
      <c r="A99" s="17" t="inlineStr">
        <is>
          <t>教授說我的研究問題太大</t>
        </is>
      </c>
      <c r="B99" s="17" t="inlineStr">
        <is>
          <t>不要辯稱不大，也不要立刻全盤放棄。先承認並展示你已經想過怎麼縮，例如先從某個時期或某一類材料切入。這個回答同時證明你聽得懂質疑，而且有能力自己界定範圍。連縮小方案都答不出來，才會真的被判定沒想清楚。</t>
        </is>
      </c>
    </row>
    <row r="100" ht="91" customHeight="1" s="13">
      <c r="A100" s="17" t="inlineStr">
        <is>
          <t>被問到沒讀過的學者或理論</t>
        </is>
      </c>
      <c r="B100" s="17" t="inlineStr">
        <is>
          <t>會，而且很常見。委員未必是你題目的專家，他們會從自己的領域丟出對照。不要假裝讀過。說明你目前掌握的範圍、你的初步判斷、以及你打算怎麼補上這一塊。</t>
        </is>
      </c>
    </row>
    <row r="101" ht="91" customHeight="1" s="13">
      <c r="A101" s="17" t="inlineStr">
        <is>
          <t>需要準備投影片或講稿嗎</t>
        </is>
      </c>
      <c r="B101" s="17" t="inlineStr">
        <is>
          <t>依各校規定。無論哪一種，都準備一分鐘與三分鐘兩種版本的研究說明，並練到不用逐字稿。逐字背講稿的風險很高，一旦被打斷就接不回來，而人文社科的口試幾乎必然會被打斷。</t>
        </is>
      </c>
    </row>
    <row r="102" ht="69" customHeight="1" s="13">
      <c r="A102" s="17" t="inlineStr">
        <is>
          <t>核心主張講不出一句話</t>
        </is>
      </c>
      <c r="B102" s="17" t="inlineStr">
        <is>
          <t>先給立場，不要鋪陳到最後才講。寫下「我主張什麼，因為什麼」，一句話。寫不出來代表問題意識還是題材，不是問句。</t>
        </is>
      </c>
    </row>
    <row r="103" ht="69" customHeight="1" s="13">
      <c r="A103" s="17" t="inlineStr">
        <is>
          <t>文獻回顧和研究問題對不上</t>
        </is>
      </c>
      <c r="B103" s="17" t="inlineStr">
        <is>
          <t>這是失分點第二項。問題意識、研究問題、文獻回顧要講的是同一件事。回去看文獻段有沒有在回答你的問題，還是只是在摘要。</t>
        </is>
      </c>
    </row>
    <row r="104" ht="48" customHeight="1" s="13">
      <c r="A104" s="17" t="inlineStr">
        <is>
          <t>兩次打出來的數字一樣</t>
        </is>
      </c>
      <c r="B104" s="17" t="inlineStr">
        <is>
          <t>檢查一下是不是這段時間都在讀計畫、沒有找人練。讀得再熟，沒被追問過的題目還是空的。</t>
        </is>
      </c>
    </row>
    <row r="105" ht="40" customHeight="1" s="13"/>
    <row r="106" ht="40" customHeight="1" s="13">
      <c r="A106" s="5" t="n"/>
      <c r="B106" s="5" t="n"/>
      <c r="C106" s="5" t="n"/>
      <c r="D106" s="5" t="n"/>
      <c r="E106" s="5" t="n"/>
      <c r="F106" s="5" t="n"/>
    </row>
    <row r="107" ht="42" customHeight="1" s="13">
      <c r="A107" s="10" t="inlineStr">
        <is>
          <t>上一階段是備審與研究計畫書。口試追問的對象就是計畫裡的每一個判斷。</t>
        </is>
      </c>
    </row>
    <row r="108" ht="14" customHeight="1" s="13">
      <c r="A108" s="5" t="n"/>
      <c r="B108" s="5" t="n"/>
      <c r="C108" s="5" t="n"/>
      <c r="D108" s="5" t="n"/>
      <c r="E108" s="5" t="n"/>
      <c r="F108" s="5" t="n"/>
    </row>
    <row r="109" ht="28" customHeight="1" s="13">
      <c r="A109" s="6" t="inlineStr">
        <is>
          <t># 搭配文章：人文社科研究所口試怎麼準備？答辯研究計畫的完整邏輯　https://tbd-edu.com/pages/resources/humanities-graduate-oral.html</t>
        </is>
      </c>
      <c r="B109" s="5" t="n"/>
      <c r="C109" s="5" t="n"/>
      <c r="D109" s="5" t="n"/>
      <c r="E109" s="5" t="n"/>
      <c r="F109" s="5" t="n"/>
    </row>
    <row r="110" ht="28" customHeight="1" s="13">
      <c r="A110" s="6" t="inlineStr">
        <is>
          <t># TBD Studio ｜ https://tbd-edu.com/</t>
        </is>
      </c>
      <c r="B110" s="5" t="n"/>
      <c r="C110" s="5" t="n"/>
      <c r="D110" s="5" t="n"/>
      <c r="E110" s="5" t="n"/>
      <c r="F110" s="5" t="n"/>
    </row>
  </sheetData>
  <mergeCells count="12">
    <mergeCell ref="A38:F38"/>
    <mergeCell ref="A2:F2"/>
    <mergeCell ref="A11:F11"/>
    <mergeCell ref="A107:F107"/>
    <mergeCell ref="A71:F71"/>
    <mergeCell ref="A73:F73"/>
    <mergeCell ref="A95:F95"/>
    <mergeCell ref="A40:F40"/>
    <mergeCell ref="A35:F35"/>
    <mergeCell ref="A20:F20"/>
    <mergeCell ref="A69:F6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zoomScale="75" workbookViewId="0">
      <pane ySplit="2" topLeftCell="A44" activePane="bottomLeft" state="frozen"/>
      <selection pane="bottomLeft" activeCell="A55" sqref="A55:XFD55"/>
    </sheetView>
  </sheetViews>
  <sheetFormatPr baseColWidth="10" defaultColWidth="9" defaultRowHeight="14"/>
  <cols>
    <col width="40.3984375" customWidth="1" style="13" min="1" max="1"/>
    <col width="83.3984375" customWidth="1" style="13" min="2" max="2"/>
    <col width="39.59765625" customWidth="1" style="13" min="3" max="3"/>
    <col width="50.59765625" customWidth="1" style="13" min="4" max="4"/>
    <col width="18.19921875" customWidth="1" style="13" min="5" max="6"/>
  </cols>
  <sheetData>
    <row r="1" ht="30" customHeight="1" s="13">
      <c r="A1" s="1" t="inlineStr">
        <is>
          <t>人文與社會科學｜口試自我檢核表：研究計畫答辯　v1</t>
        </is>
      </c>
    </row>
    <row r="2" ht="28" customHeight="1" s="13">
      <c r="A2" s="22" t="inlineStr">
        <is>
          <t>先寫答案要點，再練口說。每題兩個勾：寫出答案了、練過口說了。判準見「先讀這裡」分頁。淡黃色的儲存格是要你填或勾的，其餘是給你讀的。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一、四類追問題庫（17 題）</t>
        </is>
      </c>
    </row>
    <row r="5" ht="26" customHeight="1" s="13">
      <c r="A5" s="20" t="inlineStr">
        <is>
          <t>類別</t>
        </is>
      </c>
      <c r="B5" s="20" t="inlineStr">
        <is>
          <t>題目</t>
        </is>
      </c>
      <c r="C5" s="20" t="inlineStr">
        <is>
          <t>我的內容</t>
        </is>
      </c>
      <c r="D5" s="18" t="n"/>
      <c r="E5" s="20" t="inlineStr">
        <is>
          <t>寫出答案</t>
        </is>
      </c>
      <c r="F5" s="20" t="inlineStr">
        <is>
          <t>練過口說</t>
        </is>
      </c>
    </row>
    <row r="6" ht="41" customHeight="1" s="13">
      <c r="A6" s="17" t="inlineStr">
        <is>
          <t>研究問題</t>
        </is>
      </c>
      <c r="B6" s="17" t="inlineStr">
        <is>
          <t>為什麼選擇這個題目？</t>
        </is>
      </c>
      <c r="C6" s="19" t="n"/>
      <c r="D6" s="18" t="n"/>
      <c r="E6" s="19" t="n"/>
      <c r="F6" s="19" t="n"/>
    </row>
    <row r="7" ht="41" customHeight="1" s="13">
      <c r="A7" s="17" t="inlineStr">
        <is>
          <t>研究問題</t>
        </is>
      </c>
      <c r="B7" s="17" t="inlineStr">
        <is>
          <t>這個問題的重要性在哪裡？（學術上、現實上各一層）</t>
        </is>
      </c>
      <c r="C7" s="19" t="n"/>
      <c r="D7" s="18" t="n"/>
      <c r="E7" s="19" t="n"/>
      <c r="F7" s="19" t="n"/>
    </row>
    <row r="8" ht="41" customHeight="1" s="13">
      <c r="A8" s="17" t="inlineStr">
        <is>
          <t>研究問題</t>
        </is>
      </c>
      <c r="B8" s="17" t="inlineStr">
        <is>
          <t>你的研究問題是不是太大？（要說得出縮小方案）</t>
        </is>
      </c>
      <c r="C8" s="19" t="n"/>
      <c r="D8" s="18" t="n"/>
      <c r="E8" s="19" t="n"/>
      <c r="F8" s="19" t="n"/>
    </row>
    <row r="9" ht="41" customHeight="1" s="13">
      <c r="A9" s="17" t="inlineStr">
        <is>
          <t>研究問題</t>
        </is>
      </c>
      <c r="B9" s="17" t="inlineStr">
        <is>
          <t>你的核心主張是什麼？</t>
        </is>
      </c>
      <c r="C9" s="19" t="n"/>
      <c r="D9" s="18" t="n"/>
      <c r="E9" s="19" t="n"/>
      <c r="F9" s="19" t="n"/>
    </row>
    <row r="10" ht="41" customHeight="1" s="13">
      <c r="A10" s="17" t="inlineStr">
        <is>
          <t>文獻與理論</t>
        </is>
      </c>
      <c r="B10" s="17" t="inlineStr">
        <is>
          <t>主要參考哪些學者？</t>
        </is>
      </c>
      <c r="C10" s="19" t="n"/>
      <c r="D10" s="18" t="n"/>
      <c r="E10" s="19" t="n"/>
      <c r="F10" s="19" t="n"/>
    </row>
    <row r="11" ht="41" customHeight="1" s="13">
      <c r="A11" s="17" t="inlineStr">
        <is>
          <t>文獻與理論</t>
        </is>
      </c>
      <c r="B11" s="17" t="inlineStr">
        <is>
          <t>為什麼採用這個理論？（它讓我看見什麼別的框架看不見的）</t>
        </is>
      </c>
      <c r="C11" s="19" t="n"/>
      <c r="D11" s="18" t="n"/>
      <c r="E11" s="19" t="n"/>
      <c r="F11" s="19" t="n"/>
    </row>
    <row r="12" ht="41" customHeight="1" s="13">
      <c r="A12" s="17" t="inlineStr">
        <is>
          <t>文獻與理論</t>
        </is>
      </c>
      <c r="B12" s="17" t="inlineStr">
        <is>
          <t>有沒有其他相反的觀點？</t>
        </is>
      </c>
      <c r="C12" s="19" t="n"/>
      <c r="D12" s="18" t="n"/>
      <c r="E12" s="19" t="n"/>
      <c r="F12" s="19" t="n"/>
    </row>
    <row r="13" ht="41" customHeight="1" s="13">
      <c r="A13" s="17" t="inlineStr">
        <is>
          <t>文獻與理論</t>
        </is>
      </c>
      <c r="B13" s="17" t="inlineStr">
        <is>
          <t>你的研究和既有文獻有何差異？</t>
        </is>
      </c>
      <c r="C13" s="19" t="n"/>
      <c r="D13" s="18" t="n"/>
      <c r="E13" s="19" t="n"/>
      <c r="F13" s="19" t="n"/>
    </row>
    <row r="14" ht="41" customHeight="1" s="13">
      <c r="A14" s="17" t="inlineStr">
        <is>
          <t>材料與方法</t>
        </is>
      </c>
      <c r="B14" s="17" t="inlineStr">
        <is>
          <t>為什麼選這些文本、案例或受訪者？（選材標準）</t>
        </is>
      </c>
      <c r="C14" s="19" t="n"/>
      <c r="D14" s="18" t="n"/>
      <c r="E14" s="19" t="n"/>
      <c r="F14" s="19" t="n"/>
    </row>
    <row r="15" ht="41" customHeight="1" s="13">
      <c r="A15" s="17" t="inlineStr">
        <is>
          <t>材料與方法</t>
        </is>
      </c>
      <c r="B15" s="17" t="inlineStr">
        <is>
          <t>材料是否足夠？</t>
        </is>
      </c>
      <c r="C15" s="19" t="n"/>
      <c r="D15" s="18" t="n"/>
      <c r="E15" s="19" t="n"/>
      <c r="F15" s="19" t="n"/>
    </row>
    <row r="16" ht="41" customHeight="1" s="13">
      <c r="A16" s="17" t="inlineStr">
        <is>
          <t>材料與方法</t>
        </is>
      </c>
      <c r="B16" s="17" t="inlineStr">
        <is>
          <t>方法如何回答你的問題？</t>
        </is>
      </c>
      <c r="C16" s="19" t="n"/>
      <c r="D16" s="18" t="n"/>
      <c r="E16" s="19" t="n"/>
      <c r="F16" s="19" t="n"/>
    </row>
    <row r="17" ht="41" customHeight="1" s="13">
      <c r="A17" s="17" t="inlineStr">
        <is>
          <t>材料與方法</t>
        </is>
      </c>
      <c r="B17" s="17" t="inlineStr">
        <is>
          <t>是否存在偏差？如何緩解？</t>
        </is>
      </c>
      <c r="C17" s="19" t="n"/>
      <c r="D17" s="18" t="n"/>
      <c r="E17" s="19" t="n"/>
      <c r="F17" s="19" t="n"/>
    </row>
    <row r="18" ht="41" customHeight="1" s="13">
      <c r="A18" s="17" t="inlineStr">
        <is>
          <t>材料與方法</t>
        </is>
      </c>
      <c r="B18" s="17" t="inlineStr">
        <is>
          <t>若資料取得失敗，有何替代方案？</t>
        </is>
      </c>
      <c r="C18" s="19" t="n"/>
      <c r="D18" s="18" t="n"/>
      <c r="E18" s="19" t="n"/>
      <c r="F18" s="19" t="n"/>
    </row>
    <row r="19" ht="41" customHeight="1" s="13">
      <c r="A19" s="17" t="inlineStr">
        <is>
          <t>契合度與未來</t>
        </is>
      </c>
      <c r="B19" s="17" t="inlineStr">
        <is>
          <t>為什麼選擇本所？（具體到取徑、課程、資源）</t>
        </is>
      </c>
      <c r="C19" s="19" t="n"/>
      <c r="D19" s="18" t="n"/>
      <c r="E19" s="19" t="n"/>
      <c r="F19" s="19" t="n"/>
    </row>
    <row r="20" ht="41" customHeight="1" s="13">
      <c r="A20" s="17" t="inlineStr">
        <is>
          <t>契合度與未來</t>
        </is>
      </c>
      <c r="B20" s="17" t="inlineStr">
        <is>
          <t>希望由哪位教授指導？（說得出人選與理由）</t>
        </is>
      </c>
      <c r="C20" s="19" t="n"/>
      <c r="D20" s="18" t="n"/>
      <c r="E20" s="19" t="n"/>
      <c r="F20" s="19" t="n"/>
    </row>
    <row r="21" ht="41" customHeight="1" s="13">
      <c r="A21" s="17" t="inlineStr">
        <is>
          <t>契合度與未來</t>
        </is>
      </c>
      <c r="B21" s="17" t="inlineStr">
        <is>
          <t>進入研究所後想修哪些課？</t>
        </is>
      </c>
      <c r="C21" s="19" t="n"/>
      <c r="D21" s="18" t="n"/>
      <c r="E21" s="19" t="n"/>
      <c r="F21" s="19" t="n"/>
    </row>
    <row r="22" ht="41" customHeight="1" s="13">
      <c r="A22" s="17" t="inlineStr">
        <is>
          <t>契合度與未來</t>
        </is>
      </c>
      <c r="B22" s="17" t="inlineStr">
        <is>
          <t>未來希望往哪個方向發展？</t>
        </is>
      </c>
      <c r="C22" s="19" t="n"/>
      <c r="D22" s="18" t="n"/>
      <c r="E22" s="19" t="n"/>
      <c r="F22" s="19" t="n"/>
    </row>
    <row r="23" ht="42" customHeight="1" s="13">
      <c r="A23" s="10" t="inlineStr">
        <is>
          <t>每一類都先寫出答案再練口說。括號裡的提示是教授真正在問的東西。</t>
        </is>
      </c>
    </row>
    <row r="24" ht="40" customHeight="1" s="13"/>
    <row r="25" ht="24" customHeight="1" s="13">
      <c r="A25" s="2" t="inlineStr">
        <is>
          <t>二、五步答題框架</t>
        </is>
      </c>
    </row>
    <row r="26" ht="26" customHeight="1" s="13">
      <c r="A26" s="20" t="inlineStr">
        <is>
          <t>步驟</t>
        </is>
      </c>
      <c r="B26" s="20" t="inlineStr">
        <is>
          <t>作用</t>
        </is>
      </c>
      <c r="C26" s="18" t="n"/>
      <c r="D26" s="20" t="inlineStr">
        <is>
          <t>練習備註</t>
        </is>
      </c>
      <c r="E26" s="21" t="n"/>
      <c r="F26" s="18" t="n"/>
    </row>
    <row r="27" ht="32" customHeight="1" s="13">
      <c r="A27" s="17" t="inlineStr">
        <is>
          <t>1 重述問題</t>
        </is>
      </c>
      <c r="B27" s="17" t="inlineStr">
        <is>
          <t>確認聽懂，並替自己爭取幾秒。</t>
        </is>
      </c>
      <c r="C27" s="18" t="n"/>
      <c r="D27" s="19" t="n"/>
      <c r="E27" s="21" t="n"/>
      <c r="F27" s="18" t="n"/>
    </row>
    <row r="28" ht="32" customHeight="1" s="13">
      <c r="A28" s="17" t="inlineStr">
        <is>
          <t>2 提出核心判斷</t>
        </is>
      </c>
      <c r="B28" s="17" t="inlineStr">
        <is>
          <t>先給立場，不要鋪陳到最後才講。</t>
        </is>
      </c>
      <c r="C28" s="18" t="n"/>
      <c r="D28" s="19" t="n"/>
      <c r="E28" s="21" t="n"/>
      <c r="F28" s="18" t="n"/>
    </row>
    <row r="29" ht="32" customHeight="1" s="13">
      <c r="A29" s="17" t="inlineStr">
        <is>
          <t>3 說明依據</t>
        </is>
      </c>
      <c r="B29" s="17" t="inlineStr">
        <is>
          <t>文獻、材料或邏輯，擇一即可。</t>
        </is>
      </c>
      <c r="C29" s="18" t="n"/>
      <c r="D29" s="19" t="n"/>
      <c r="E29" s="21" t="n"/>
      <c r="F29" s="18" t="n"/>
    </row>
    <row r="30" ht="32" customHeight="1" s="13">
      <c r="A30" s="17" t="inlineStr">
        <is>
          <t>4 承認限制</t>
        </is>
      </c>
      <c r="B30" s="17" t="inlineStr">
        <is>
          <t>說明結論適用到哪裡為止。</t>
        </is>
      </c>
      <c r="C30" s="18" t="n"/>
      <c r="D30" s="19" t="n"/>
      <c r="E30" s="21" t="n"/>
      <c r="F30" s="18" t="n"/>
    </row>
    <row r="31" ht="32" customHeight="1" s="13">
      <c r="A31" s="17" t="inlineStr">
        <is>
          <t>5 補充修正方向</t>
        </is>
      </c>
      <c r="B31" s="17" t="inlineStr">
        <is>
          <t>若要處理這個情況，我會怎麼做。</t>
        </is>
      </c>
      <c r="C31" s="18" t="n"/>
      <c r="D31" s="19" t="n"/>
      <c r="E31" s="21" t="n"/>
      <c r="F31" s="18" t="n"/>
    </row>
    <row r="32" ht="40" customHeight="1" s="13"/>
    <row r="33" ht="24" customHeight="1" s="13">
      <c r="A33" s="2" t="inlineStr">
        <is>
          <t>三、面對反對意見的句型</t>
        </is>
      </c>
    </row>
    <row r="34" ht="32" customHeight="1" s="13">
      <c r="A34" s="24" t="inlineStr">
        <is>
          <t>這個質疑成立於＿＿條件。我的計畫目前聚焦於＿＿，因此會先限制結論範圍；若要處理您提到的情況，我會再加入＿＿材料或採用＿＿方法驗證。</t>
        </is>
      </c>
    </row>
    <row r="35" ht="40" customHeight="1" s="13"/>
    <row r="36" ht="26" customHeight="1" s="13">
      <c r="A36" s="20" t="inlineStr">
        <is>
          <t>編號</t>
        </is>
      </c>
      <c r="B36" s="20" t="inlineStr">
        <is>
          <t>我預期的質疑</t>
        </is>
      </c>
      <c r="C36" s="18" t="n"/>
      <c r="D36" s="20" t="inlineStr">
        <is>
          <t>我的回應（用上面的句型）</t>
        </is>
      </c>
      <c r="E36" s="21" t="n"/>
      <c r="F36" s="18" t="n"/>
    </row>
    <row r="37" ht="32" customHeight="1" s="13">
      <c r="A37" s="8" t="n">
        <v>1</v>
      </c>
      <c r="B37" s="19" t="n"/>
      <c r="C37" s="18" t="n"/>
      <c r="D37" s="19" t="n"/>
      <c r="E37" s="21" t="n"/>
      <c r="F37" s="18" t="n"/>
    </row>
    <row r="38" ht="32" customHeight="1" s="13">
      <c r="A38" s="8" t="n">
        <v>2</v>
      </c>
      <c r="B38" s="19" t="n"/>
      <c r="C38" s="18" t="n"/>
      <c r="D38" s="19" t="n"/>
      <c r="E38" s="21" t="n"/>
      <c r="F38" s="18" t="n"/>
    </row>
    <row r="39" ht="32" customHeight="1" s="13">
      <c r="A39" s="8" t="n">
        <v>3</v>
      </c>
      <c r="B39" s="19" t="n"/>
      <c r="C39" s="18" t="n"/>
      <c r="D39" s="19" t="n"/>
      <c r="E39" s="21" t="n"/>
      <c r="F39" s="18" t="n"/>
    </row>
    <row r="40" ht="42" customHeight="1" s="13">
      <c r="A40" s="10" t="inlineStr">
        <is>
          <t>從計畫中最可能被質疑的三個點開始想。這段話同時做到三件事：承認質疑有效的範圍、說明自己為何仍如此設計、給出可行的處理方式。</t>
        </is>
      </c>
    </row>
    <row r="41" ht="40" customHeight="1" s="13"/>
    <row r="42" ht="24" customHeight="1" s="13">
      <c r="A42" s="2" t="inlineStr">
        <is>
          <t>四、被質疑時的三種句型</t>
        </is>
      </c>
    </row>
    <row r="43" ht="26" customHeight="1" s="13">
      <c r="A43" s="20" t="inlineStr">
        <is>
          <t>狀況</t>
        </is>
      </c>
      <c r="B43" s="20" t="inlineStr">
        <is>
          <t>句型</t>
        </is>
      </c>
      <c r="C43" s="18" t="n"/>
      <c r="D43" s="20" t="inlineStr">
        <is>
          <t>我的內容</t>
        </is>
      </c>
      <c r="E43" s="21" t="n"/>
      <c r="F43" s="18" t="n"/>
    </row>
    <row r="44" ht="48" customHeight="1" s="13">
      <c r="A44" s="17" t="inlineStr">
        <is>
          <t>立場被挑戰</t>
        </is>
      </c>
      <c r="B44" s="17" t="inlineStr">
        <is>
          <t>這確實是一個可以爭論的地方。我的判斷建立在＿＿，如果採取＿＿的前提，結論會不同；我在計畫裡處理的是前者。</t>
        </is>
      </c>
      <c r="C44" s="18" t="n"/>
      <c r="D44" s="19" t="n"/>
      <c r="E44" s="21" t="n"/>
      <c r="F44" s="18" t="n"/>
    </row>
    <row r="45" ht="48" customHeight="1" s="13">
      <c r="A45" s="17" t="inlineStr">
        <is>
          <t>文獻掌握不足</t>
        </is>
      </c>
      <c r="B45" s="17" t="inlineStr">
        <is>
          <t>這篇我沒有讀到，謝謝老師。就我掌握的＿＿那一支討論，我的理解是＿＿；若這篇結論不同，我需要回去確認它是否改變我的問題設定。</t>
        </is>
      </c>
      <c r="C45" s="18" t="n"/>
      <c r="D45" s="19" t="n"/>
      <c r="E45" s="21" t="n"/>
      <c r="F45" s="18" t="n"/>
    </row>
    <row r="46" ht="32" customHeight="1" s="13">
      <c r="A46" s="17" t="inlineStr">
        <is>
          <t>材料取得有疑慮</t>
        </is>
      </c>
      <c r="B46" s="17" t="inlineStr">
        <is>
          <t>這確實是最大的風險。備援是改用＿＿，範圍會縮到＿＿，但核心問題仍答得出來。</t>
        </is>
      </c>
      <c r="C46" s="18" t="n"/>
      <c r="D46" s="19" t="n"/>
      <c r="E46" s="21" t="n"/>
      <c r="F46" s="18" t="n"/>
    </row>
    <row r="47" ht="42" customHeight="1" s="13">
      <c r="A47" s="10" t="inlineStr">
        <is>
          <t>把＿＿換成你自己計畫裡的東西，各寫一次。寫過才講得出來。</t>
        </is>
      </c>
    </row>
    <row r="48" ht="40" customHeight="1" s="13"/>
    <row r="49" ht="24" customHeight="1" s="13">
      <c r="A49" s="2" t="inlineStr">
        <is>
          <t>五、遇到不知道的問題（四步）</t>
        </is>
      </c>
    </row>
    <row r="50" ht="26" customHeight="1" s="13">
      <c r="A50" s="20" t="inlineStr">
        <is>
          <t>步驟</t>
        </is>
      </c>
      <c r="B50" s="20" t="inlineStr">
        <is>
          <t>做什麼</t>
        </is>
      </c>
      <c r="C50" s="18" t="n"/>
      <c r="D50" s="20" t="inlineStr">
        <is>
          <t>我的內容</t>
        </is>
      </c>
      <c r="E50" s="21" t="n"/>
      <c r="F50" s="18" t="n"/>
    </row>
    <row r="51" ht="32" customHeight="1" s="13">
      <c r="A51" s="17" t="inlineStr">
        <is>
          <t>1 坦白目前掌握的範圍</t>
        </is>
      </c>
      <c r="B51" s="17" t="inlineStr">
        <is>
          <t>「這篇我沒有讀到」或「這一支我只讀到某某」。</t>
        </is>
      </c>
      <c r="C51" s="18" t="n"/>
      <c r="D51" s="19" t="n"/>
      <c r="E51" s="21" t="n"/>
      <c r="F51" s="18" t="n"/>
    </row>
    <row r="52" ht="32" customHeight="1" s="13">
      <c r="A52" s="17" t="inlineStr">
        <is>
          <t>2 說明初步判斷</t>
        </is>
      </c>
      <c r="B52" s="17" t="inlineStr">
        <is>
          <t>從你掌握的部分推一個判斷。</t>
        </is>
      </c>
      <c r="C52" s="18" t="n"/>
      <c r="D52" s="19" t="n"/>
      <c r="E52" s="21" t="n"/>
      <c r="F52" s="18" t="n"/>
    </row>
    <row r="53" ht="32" customHeight="1" s="13">
      <c r="A53" s="17" t="inlineStr">
        <is>
          <t>3 指出需要查證的材料</t>
        </is>
      </c>
      <c r="B53" s="17" t="inlineStr">
        <is>
          <t>哪一類文獻或資料能回答這題。</t>
        </is>
      </c>
      <c r="C53" s="18" t="n"/>
      <c r="D53" s="19" t="n"/>
      <c r="E53" s="21" t="n"/>
      <c r="F53" s="18" t="n"/>
    </row>
    <row r="54" ht="32" customHeight="1" s="13">
      <c r="A54" s="17" t="inlineStr">
        <is>
          <t>4 提出後續閱讀或研究方法</t>
        </is>
      </c>
      <c r="B54" s="17" t="inlineStr">
        <is>
          <t>「我會先去看什麼，再判斷它是否改變我的問題設定。」</t>
        </is>
      </c>
      <c r="C54" s="18" t="n"/>
      <c r="D54" s="19" t="n"/>
      <c r="E54" s="21" t="n"/>
      <c r="F54" s="18" t="n"/>
    </row>
    <row r="55" ht="42" customHeight="1" s="13">
      <c r="A55" s="10" t="inlineStr">
        <is>
          <t>不要硬湊學者、理論或史實。錯誤引用會被立刻聽出來，而且會讓委員開始懷疑你其他的引用。</t>
        </is>
      </c>
    </row>
    <row r="56" ht="42" customHeight="1" s="13">
      <c r="A56" s="10" t="n"/>
    </row>
    <row r="57" ht="42" customHeight="1" s="13">
      <c r="A57" s="10" t="inlineStr">
        <is>
          <t>填完切到「檢核表」分頁。</t>
        </is>
      </c>
    </row>
    <row r="58" ht="14" customHeight="1" s="13"/>
    <row r="59" ht="28" customHeight="1" s="13">
      <c r="A59" s="6" t="inlineStr">
        <is>
          <t># 搭配文章：人文社科研究所口試怎麼準備？答辯研究計畫的完整邏輯　https://tbd-edu.com/pages/resources/humanities-graduate-oral.html</t>
        </is>
      </c>
    </row>
    <row r="60" ht="28" customHeight="1" s="13">
      <c r="A60" s="6" t="inlineStr">
        <is>
          <t># TBD Studio ｜ https://tbd-edu.com/</t>
        </is>
      </c>
    </row>
  </sheetData>
  <mergeCells count="63">
    <mergeCell ref="B54:C54"/>
    <mergeCell ref="C6:D6"/>
    <mergeCell ref="D27:F27"/>
    <mergeCell ref="C15:D15"/>
    <mergeCell ref="C5:D5"/>
    <mergeCell ref="B46:C46"/>
    <mergeCell ref="C14:D14"/>
    <mergeCell ref="B31:C31"/>
    <mergeCell ref="B27:C27"/>
    <mergeCell ref="D53:F53"/>
    <mergeCell ref="A55:F55"/>
    <mergeCell ref="C18:D18"/>
    <mergeCell ref="D43:F43"/>
    <mergeCell ref="B43:C43"/>
    <mergeCell ref="A57:F57"/>
    <mergeCell ref="B39:C39"/>
    <mergeCell ref="A2:F2"/>
    <mergeCell ref="B52:C52"/>
    <mergeCell ref="C20:D20"/>
    <mergeCell ref="D28:F28"/>
    <mergeCell ref="A47:F47"/>
    <mergeCell ref="C10:D10"/>
    <mergeCell ref="C16:D16"/>
    <mergeCell ref="D37:F37"/>
    <mergeCell ref="A23:F23"/>
    <mergeCell ref="C22:D22"/>
    <mergeCell ref="C9:D9"/>
    <mergeCell ref="D30:F30"/>
    <mergeCell ref="D39:F39"/>
    <mergeCell ref="B53:C53"/>
    <mergeCell ref="D51:F51"/>
    <mergeCell ref="D38:F38"/>
    <mergeCell ref="C12:D12"/>
    <mergeCell ref="B38:C38"/>
    <mergeCell ref="D29:F29"/>
    <mergeCell ref="B29:C29"/>
    <mergeCell ref="C21:D21"/>
    <mergeCell ref="B44:C44"/>
    <mergeCell ref="C11:D11"/>
    <mergeCell ref="B37:C37"/>
    <mergeCell ref="D54:F54"/>
    <mergeCell ref="B28:C28"/>
    <mergeCell ref="D50:F50"/>
    <mergeCell ref="D26:F26"/>
    <mergeCell ref="D44:F44"/>
    <mergeCell ref="A40:F40"/>
    <mergeCell ref="A34:F34"/>
    <mergeCell ref="C17:D17"/>
    <mergeCell ref="C8:D8"/>
    <mergeCell ref="B30:C30"/>
    <mergeCell ref="C7:D7"/>
    <mergeCell ref="B26:C26"/>
    <mergeCell ref="B51:C51"/>
    <mergeCell ref="D46:F46"/>
    <mergeCell ref="D31:F31"/>
    <mergeCell ref="C19:D19"/>
    <mergeCell ref="B45:C45"/>
    <mergeCell ref="D36:F36"/>
    <mergeCell ref="B36:C36"/>
    <mergeCell ref="C13:D13"/>
    <mergeCell ref="B50:C50"/>
    <mergeCell ref="D52:F52"/>
    <mergeCell ref="D45:F45"/>
  </mergeCells>
  <dataValidations count="1">
    <dataValidation sqref="E6:F22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zoomScale="75" workbookViewId="0">
      <pane ySplit="2" topLeftCell="A19" activePane="bottomLeft" state="frozen"/>
      <selection pane="bottomLeft" activeCell="A12" sqref="A12:XFD12"/>
    </sheetView>
  </sheetViews>
  <sheetFormatPr baseColWidth="10" defaultColWidth="9" defaultRowHeight="14"/>
  <cols>
    <col width="39.59765625" customWidth="1" style="13" min="1" max="1"/>
    <col width="53" customWidth="1" style="13" min="2" max="2"/>
    <col width="18.19921875" customWidth="1" style="13" min="3" max="3"/>
    <col width="97" customWidth="1" style="13" min="4" max="4"/>
    <col width="12" customWidth="1" style="13" min="5" max="6"/>
  </cols>
  <sheetData>
    <row r="1" ht="30" customHeight="1" s="13">
      <c r="A1" s="1" t="inlineStr">
        <is>
          <t>人文與社會科學｜口試自我檢核表：研究計畫答辯　v1</t>
        </is>
      </c>
    </row>
    <row r="2" ht="28" customHeight="1" s="13">
      <c r="A2" s="22" t="inlineStr">
        <is>
          <t>3 區共 18 項。當場講得出來才打 ✓，「應該會吧」留白。判準見「先讀這裡」分頁。淡黃色的儲存格是要你填或勾的，其餘是給你讀的。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第 1 區　回應質疑與不知道的問題（6 項）</t>
        </is>
      </c>
    </row>
    <row r="5" ht="26" customHeight="1" s="13">
      <c r="A5" s="20" t="inlineStr">
        <is>
          <t>檢核項目</t>
        </is>
      </c>
      <c r="B5" s="18" t="n"/>
      <c r="C5" s="20" t="inlineStr">
        <is>
          <t>確認</t>
        </is>
      </c>
      <c r="D5" s="20" t="inlineStr">
        <is>
          <t>沒打勾的話，下一步</t>
        </is>
      </c>
    </row>
    <row r="6" ht="45" customHeight="1" s="13">
      <c r="A6" s="17" t="inlineStr">
        <is>
          <t>我已針對計畫中最可能被質疑的三個點，各寫過一次反對意見的句型</t>
        </is>
      </c>
      <c r="B6" s="18" t="n"/>
      <c r="C6" s="19" t="n"/>
      <c r="D6" s="17" t="inlineStr">
        <is>
          <t>回題庫與素材第三節，三格都填。</t>
        </is>
      </c>
    </row>
    <row r="7" ht="32" customHeight="1" s="13">
      <c r="A7" s="17" t="inlineStr">
        <is>
          <t>我沒有採用「全盤接受」或「全盤防衛」</t>
        </is>
      </c>
      <c r="B7" s="18" t="n"/>
      <c r="C7" s="19" t="n"/>
      <c r="D7" s="17" t="inlineStr">
        <is>
          <t>好的回應要同時承認有效範圍、說明設計理由、給出處理方式。</t>
        </is>
      </c>
    </row>
    <row r="8" ht="32" customHeight="1" s="13">
      <c r="A8" s="17" t="inlineStr">
        <is>
          <t>練過坦白目前掌握的範圍</t>
        </is>
      </c>
      <c r="B8" s="18" t="n"/>
      <c r="C8" s="19" t="n"/>
      <c r="D8" s="17" t="inlineStr">
        <is>
          <t>「這篇我沒有讀到，謝謝老師。」講得出口，不會慌。</t>
        </is>
      </c>
    </row>
    <row r="9" ht="32" customHeight="1" s="13">
      <c r="A9" s="17" t="inlineStr">
        <is>
          <t>練過說明初步判斷</t>
        </is>
      </c>
      <c r="B9" s="18" t="n"/>
      <c r="C9" s="19" t="n"/>
      <c r="D9" s="17" t="inlineStr">
        <is>
          <t>從你掌握的部分推一個判斷，不要停在「不知道」。</t>
        </is>
      </c>
    </row>
    <row r="10" ht="32" customHeight="1" s="13">
      <c r="A10" s="17" t="inlineStr">
        <is>
          <t>練過指出需要查證的材料</t>
        </is>
      </c>
      <c r="B10" s="18" t="n"/>
      <c r="C10" s="19" t="n"/>
      <c r="D10" s="17" t="inlineStr">
        <is>
          <t>哪一類文獻或資料能回答這題。</t>
        </is>
      </c>
    </row>
    <row r="11" ht="32" customHeight="1" s="13">
      <c r="A11" s="17" t="inlineStr">
        <is>
          <t>練過提出後續閱讀或研究方法</t>
        </is>
      </c>
      <c r="B11" s="18" t="n"/>
      <c r="C11" s="19" t="n"/>
      <c r="D11" s="17" t="inlineStr">
        <is>
          <t>「我會先去看什麼。」這一步顯示的是思考路徑。</t>
        </is>
      </c>
    </row>
    <row r="12" ht="42" customHeight="1" s="13">
      <c r="A12" s="10" t="inlineStr">
        <is>
          <t>四步演練過一次，講得出來而不會慌，才算。</t>
        </is>
      </c>
    </row>
    <row r="13" ht="40" customHeight="1" s="13"/>
    <row r="14" ht="24" customHeight="1" s="13">
      <c r="A14" s="2" t="inlineStr">
        <is>
          <t>第 2 區　上場前檢核（6 項　沒滿就還不能上場）</t>
        </is>
      </c>
    </row>
    <row r="15" ht="26" customHeight="1" s="13">
      <c r="A15" s="20" t="inlineStr">
        <is>
          <t>檢核項目</t>
        </is>
      </c>
      <c r="B15" s="18" t="n"/>
      <c r="C15" s="20" t="inlineStr">
        <is>
          <t>確認</t>
        </is>
      </c>
      <c r="D15" s="20" t="inlineStr">
        <is>
          <t>沒打勾的話，下一步</t>
        </is>
      </c>
    </row>
    <row r="16" ht="32" customHeight="1" s="13">
      <c r="A16" s="17" t="inlineStr">
        <is>
          <t>能在一分鐘內說明研究問題與核心主張，另備三分鐘版本</t>
        </is>
      </c>
      <c r="B16" s="18" t="n"/>
      <c r="C16" s="19" t="n"/>
      <c r="D16" s="17" t="inlineStr">
        <is>
          <t>兩個版本都練到不用逐字稿。一旦被打斷就要接得回來。</t>
        </is>
      </c>
    </row>
    <row r="17" ht="32" customHeight="1" s="13">
      <c r="A17" s="17" t="inlineStr">
        <is>
          <t>能解釋文獻缺口在哪裡</t>
        </is>
      </c>
      <c r="B17" s="18" t="n"/>
      <c r="C17" s="19" t="n"/>
      <c r="D17" s="17" t="inlineStr">
        <is>
          <t>回題庫文獻與理論第四題。</t>
        </is>
      </c>
    </row>
    <row r="18" ht="32" customHeight="1" s="13">
      <c r="A18" s="17" t="inlineStr">
        <is>
          <t>能為材料與方法的選擇辯護，含選材標準與偏差</t>
        </is>
      </c>
      <c r="B18" s="18" t="n"/>
      <c r="C18" s="19" t="n"/>
      <c r="D18" s="17" t="inlineStr">
        <is>
          <t>回題庫材料與方法五題。</t>
        </is>
      </c>
    </row>
    <row r="19" ht="32" customHeight="1" s="13">
      <c r="A19" s="17" t="inlineStr">
        <is>
          <t>準備過反例與批評，並主動找出至少一種反對我的解釋</t>
        </is>
      </c>
      <c r="B19" s="18" t="n"/>
      <c r="C19" s="19" t="n"/>
      <c r="D19" s="17" t="inlineStr">
        <is>
          <t>回題庫文獻與理論第三題，加上第三節三個質疑。</t>
        </is>
      </c>
    </row>
    <row r="20" ht="32" customHeight="1" s="13">
      <c r="A20" s="17" t="inlineStr">
        <is>
          <t>面對不知道的問題時，能提出合理的查證路徑</t>
        </is>
      </c>
      <c r="B20" s="18" t="n"/>
      <c r="C20" s="19" t="n"/>
      <c r="D20" s="17" t="inlineStr">
        <is>
          <t>回第 1 區後四項。</t>
        </is>
      </c>
    </row>
    <row r="21" ht="32" customHeight="1" s="13">
      <c r="A21" s="17" t="inlineStr">
        <is>
          <t>已找人做過連續追問的模擬，練到被打斷也能維持邏輯</t>
        </is>
      </c>
      <c r="B21" s="18" t="n"/>
      <c r="C21" s="19" t="n"/>
      <c r="D21" s="17" t="inlineStr">
        <is>
          <t>同學或老師都可以。一定要被打斷過。</t>
        </is>
      </c>
    </row>
    <row r="22" ht="42" customHeight="1" s="13">
      <c r="A22" s="10" t="inlineStr">
        <is>
          <t>這六項是最後那道閘門。它們不是新工作，是把前面的準備再問一次。</t>
        </is>
      </c>
    </row>
    <row r="23" ht="40" customHeight="1" s="13"/>
    <row r="24" ht="24" customHeight="1" s="13">
      <c r="A24" s="2" t="inlineStr">
        <is>
          <t>第 3 區　常見失分點（6 項　✓ 代表我不會這樣答）</t>
        </is>
      </c>
    </row>
    <row r="25" ht="26" customHeight="1" s="13">
      <c r="A25" s="20" t="inlineStr">
        <is>
          <t>檢核項目</t>
        </is>
      </c>
      <c r="B25" s="18" t="n"/>
      <c r="C25" s="20" t="inlineStr">
        <is>
          <t>確認</t>
        </is>
      </c>
      <c r="D25" s="20" t="inlineStr">
        <is>
          <t>沒打勾的話，下一步</t>
        </is>
      </c>
    </row>
    <row r="26" ht="32" customHeight="1" s="13">
      <c r="A26" s="17" t="inlineStr">
        <is>
          <t>研究問題不是問句，是一個題材</t>
        </is>
      </c>
      <c r="B26" s="18" t="n"/>
      <c r="C26" s="19" t="n"/>
      <c r="D26" s="17" t="inlineStr">
        <is>
          <t>把題材改寫成一個能被回答的問句。</t>
        </is>
      </c>
    </row>
    <row r="27" ht="32" customHeight="1" s="13">
      <c r="A27" s="17" t="inlineStr">
        <is>
          <t>問題意識、研究問題與文獻回顧講的不是同一件事</t>
        </is>
      </c>
      <c r="B27" s="18" t="n"/>
      <c r="C27" s="19" t="n"/>
      <c r="D27" s="17" t="inlineStr">
        <is>
          <t>三段並排讀一次，文獻段要在回答你的問題，不是在摘要。</t>
        </is>
      </c>
    </row>
    <row r="28" ht="32" customHeight="1" s="13">
      <c r="A28" s="17" t="inlineStr">
        <is>
          <t>理論掛名字當裝飾，被追問時說不出怎麼用</t>
        </is>
      </c>
      <c r="B28" s="18" t="n"/>
      <c r="C28" s="19" t="n"/>
      <c r="D28" s="17" t="inlineStr">
        <is>
          <t>回題庫文獻與理論第二題：它讓我看見什麼是別的框架看不見的。</t>
        </is>
      </c>
    </row>
    <row r="29" ht="32" customHeight="1" s="13">
      <c r="A29" s="17" t="inlineStr">
        <is>
          <t>材料數量與取得方式交代不清</t>
        </is>
      </c>
      <c r="B29" s="18" t="n"/>
      <c r="C29" s="19" t="n"/>
      <c r="D29" s="17" t="inlineStr">
        <is>
          <t>回題庫材料與方法第二、五題。</t>
        </is>
      </c>
    </row>
    <row r="30" ht="32" customHeight="1" s="13">
      <c r="A30" s="17" t="inlineStr">
        <is>
          <t>被指出立場問題時只重述觀點，沒有處理反駁</t>
        </is>
      </c>
      <c r="B30" s="18" t="n"/>
      <c r="C30" s="19" t="n"/>
      <c r="D30" s="17" t="inlineStr">
        <is>
          <t>回被質疑時的句型第一種。</t>
        </is>
      </c>
    </row>
    <row r="31" ht="32" customHeight="1" s="13">
      <c r="A31" s="17" t="inlineStr">
        <is>
          <t>範圍過大，答不出縮小方案</t>
        </is>
      </c>
      <c r="B31" s="18" t="n"/>
      <c r="C31" s="19" t="n"/>
      <c r="D31" s="17" t="inlineStr">
        <is>
          <t>回題庫研究問題第三題。先想好從哪個時期或哪一類材料切入。</t>
        </is>
      </c>
    </row>
    <row r="32" ht="42" customHeight="1" s="13">
      <c r="A32" s="10" t="inlineStr">
        <is>
          <t>打完切到「我到哪了」分頁看結果。</t>
        </is>
      </c>
    </row>
    <row r="33" ht="14" customHeight="1" s="13"/>
    <row r="34" ht="28" customHeight="1" s="13">
      <c r="A34" s="6" t="inlineStr">
        <is>
          <t># 搭配文章：人文社科研究所口試怎麼準備？答辯研究計畫的完整邏輯　https://tbd-edu.com/pages/resources/humanities-graduate-oral.html</t>
        </is>
      </c>
    </row>
    <row r="35" ht="28" customHeight="1" s="13">
      <c r="A35" s="6" t="inlineStr">
        <is>
          <t># TBD Studio ｜ https://tbd-edu.com/</t>
        </is>
      </c>
    </row>
  </sheetData>
  <mergeCells count="25">
    <mergeCell ref="A30:B30"/>
    <mergeCell ref="A15:B15"/>
    <mergeCell ref="A22:D22"/>
    <mergeCell ref="A11:B11"/>
    <mergeCell ref="A6:B6"/>
    <mergeCell ref="A16:B16"/>
    <mergeCell ref="A7:B7"/>
    <mergeCell ref="A25:B25"/>
    <mergeCell ref="A18:B18"/>
    <mergeCell ref="A27:B27"/>
    <mergeCell ref="A26:B26"/>
    <mergeCell ref="A21:B21"/>
    <mergeCell ref="A5:B5"/>
    <mergeCell ref="A17:B17"/>
    <mergeCell ref="A8:B8"/>
    <mergeCell ref="A20:B20"/>
    <mergeCell ref="A29:B29"/>
    <mergeCell ref="A12:D12"/>
    <mergeCell ref="A19:B19"/>
    <mergeCell ref="A10:B10"/>
    <mergeCell ref="A28:B28"/>
    <mergeCell ref="A2:D2"/>
    <mergeCell ref="A9:B9"/>
    <mergeCell ref="A31:B31"/>
    <mergeCell ref="A32:D32"/>
  </mergeCells>
  <dataValidations count="1">
    <dataValidation sqref="C6:C11 C16:C21 C26:C31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zoomScale="75" workbookViewId="0">
      <pane ySplit="2" topLeftCell="A9" activePane="bottomLeft" state="frozen"/>
      <selection pane="bottomLeft" activeCell="A29" sqref="A29"/>
    </sheetView>
  </sheetViews>
  <sheetFormatPr baseColWidth="10" defaultColWidth="9" defaultRowHeight="14"/>
  <cols>
    <col width="39.59765625" customWidth="1" style="13" min="1" max="1"/>
    <col width="18.19921875" customWidth="1" style="13" min="2" max="2"/>
    <col width="51.796875" customWidth="1" style="13" min="3" max="3"/>
    <col width="90.796875" customWidth="1" style="13" min="4" max="4"/>
    <col width="12" customWidth="1" style="13" min="5" max="6"/>
  </cols>
  <sheetData>
    <row r="1" ht="30" customHeight="1" s="13">
      <c r="A1" s="1" t="inlineStr">
        <is>
          <t>人文與社會科學｜口試自我檢核表：研究計畫答辯　v1</t>
        </is>
      </c>
    </row>
    <row r="2" ht="28" customHeight="1" s="13">
      <c r="A2" s="22" t="inlineStr">
        <is>
          <t>數字會跟著前面的分頁自動變。留白的項目就是你接下來的工作清單。</t>
        </is>
      </c>
    </row>
    <row r="3" ht="40" customHeight="1" s="13"/>
    <row r="4" ht="24" customHeight="1" s="13">
      <c r="A4" s="2" t="inlineStr">
        <is>
          <t>5 區完成度</t>
        </is>
      </c>
    </row>
    <row r="5" ht="26" customHeight="1" s="13">
      <c r="A5" s="20" t="inlineStr">
        <is>
          <t>區塊</t>
        </is>
      </c>
      <c r="B5" s="20" t="inlineStr">
        <is>
          <t>已確認</t>
        </is>
      </c>
      <c r="C5" s="20" t="inlineStr">
        <is>
          <t>完成的比例（滿格代表這一區做完）</t>
        </is>
      </c>
      <c r="D5" s="20" t="inlineStr">
        <is>
          <t>這一區在檢查什麼</t>
        </is>
      </c>
    </row>
    <row r="6" ht="52" customHeight="1" s="13">
      <c r="A6" s="17" t="inlineStr">
        <is>
          <t>題庫：寫出答案</t>
        </is>
      </c>
      <c r="B6" s="17">
        <f>COUNTIF(題庫與素材!E6:E22,"✓")&amp;" / 17"</f>
        <v/>
      </c>
      <c r="C6" s="17">
        <f>IF(COUNTIF(題庫與素材!E6:E22,"✓")=0,"尚未開始",REPT("█",ROUND(COUNTIF(題庫與素材!E6:E22,"✓")/17*16,0)))</f>
        <v/>
      </c>
      <c r="D6" s="17" t="inlineStr">
        <is>
          <t>四類追問十七題，寫得出答案要點了沒。</t>
        </is>
      </c>
    </row>
    <row r="7" ht="52" customHeight="1" s="13">
      <c r="A7" s="17" t="inlineStr">
        <is>
          <t>題庫：練過口說</t>
        </is>
      </c>
      <c r="B7" s="17">
        <f>COUNTIF(題庫與素材!F6:F22,"✓")&amp;" / 17"</f>
        <v/>
      </c>
      <c r="C7" s="17">
        <f>IF(COUNTIF(題庫與素材!F6:F22,"✓")=0,"尚未開始",REPT("█",ROUND(COUNTIF(題庫與素材!F6:F22,"✓")/17*16,0)))</f>
        <v/>
      </c>
      <c r="D7" s="17" t="inlineStr">
        <is>
          <t>同樣十七題，被連續追問時講得出來了沒。</t>
        </is>
      </c>
    </row>
    <row r="8" ht="52" customHeight="1" s="13">
      <c r="A8" s="17" t="inlineStr">
        <is>
          <t>回應質疑與不知道的問題</t>
        </is>
      </c>
      <c r="B8" s="17">
        <f>COUNTIF(檢核表!C6:C11,"✓")&amp;" / 6"</f>
        <v/>
      </c>
      <c r="C8" s="17">
        <f>IF(COUNTIF(檢核表!C6:C11,"✓")=0,"尚未開始",REPT("█",ROUND(COUNTIF(檢核表!C6:C11,"✓")/6*16,0)))</f>
        <v/>
      </c>
      <c r="D8" s="17" t="inlineStr">
        <is>
          <t>句型寫過了沒、四步演練過了沒。</t>
        </is>
      </c>
    </row>
    <row r="9" ht="52" customHeight="1" s="13">
      <c r="A9" s="17" t="inlineStr">
        <is>
          <t>上場前檢核</t>
        </is>
      </c>
      <c r="B9" s="17">
        <f>COUNTIF(檢核表!C16:C21,"✓")&amp;" / 6"</f>
        <v/>
      </c>
      <c r="C9" s="17">
        <f>IF(COUNTIF(檢核表!C16:C21,"✓")=0,"尚未開始",REPT("█",ROUND(COUNTIF(檢核表!C16:C21,"✓")/6*16,0)))</f>
        <v/>
      </c>
      <c r="D9" s="17" t="inlineStr">
        <is>
          <t>最後那道閘門。這六項沒到就還不能上場。</t>
        </is>
      </c>
    </row>
    <row r="10" ht="52" customHeight="1" s="13">
      <c r="A10" s="17" t="inlineStr">
        <is>
          <t>常見失分點</t>
        </is>
      </c>
      <c r="B10" s="17">
        <f>COUNTIF(檢核表!C26:C31,"✓")&amp;" / 6"</f>
        <v/>
      </c>
      <c r="C10" s="17">
        <f>IF(COUNTIF(檢核表!C26:C31,"✓")=0,"尚未開始",REPT("█",ROUND(COUNTIF(檢核表!C26:C31,"✓")/6*16,0)))</f>
        <v/>
      </c>
      <c r="D10" s="17" t="inlineStr">
        <is>
          <t>有沒有踩到最常見的六個失分回答。</t>
        </is>
      </c>
    </row>
    <row r="11" ht="52" customHeight="1" s="13">
      <c r="A11" s="17" t="inlineStr">
        <is>
          <t>合計</t>
        </is>
      </c>
      <c r="B11" s="17">
        <f>(COUNTIF(題庫與素材!E6:E22,"✓")+COUNTIF(題庫與素材!F6:F22,"✓")+COUNTIF(檢核表!C6:C11,"✓")+COUNTIF(檢核表!C16:C21,"✓")+COUNTIF(檢核表!C26:C31,"✓"))&amp;" / 52"</f>
        <v/>
      </c>
      <c r="C11" s="17">
        <f>IF((COUNTIF(題庫與素材!E6:E22,"✓")+COUNTIF(題庫與素材!F6:F22,"✓")+COUNTIF(檢核表!C6:C11,"✓")+COUNTIF(檢核表!C16:C21,"✓")+COUNTIF(檢核表!C26:C31,"✓"))=0,"尚未開始",REPT("█",ROUND((COUNTIF(題庫與素材!E6:E22,"✓")+COUNTIF(題庫與素材!F6:F22,"✓")+COUNTIF(檢核表!C6:C11,"✓")+COUNTIF(檢核表!C16:C21,"✓")+COUNTIF(檢核表!C26:C31,"✓"))/52*16,0)))</f>
        <v/>
      </c>
      <c r="D11" s="17" t="inlineStr">
        <is>
          <t>完成率見下方。</t>
        </is>
      </c>
    </row>
    <row r="12" ht="42" customHeight="1" s="13">
      <c r="A12" s="10" t="inlineStr">
        <is>
          <t>6 條長條都換算成同一個滿格刻度，所以可以直接互相比。最短的那一區就是你目前最弱的地方。</t>
        </is>
      </c>
    </row>
    <row r="13" ht="40" customHeight="1" s="13"/>
    <row r="14" ht="24" customHeight="1" s="13">
      <c r="A14" s="2" t="inlineStr">
        <is>
          <t>還有什麼可以做</t>
        </is>
      </c>
    </row>
    <row r="15" ht="26" customHeight="1" s="13">
      <c r="A15" s="20" t="inlineStr">
        <is>
          <t>完成率</t>
        </is>
      </c>
      <c r="B15" s="20" t="inlineStr">
        <is>
          <t>還沒打勾</t>
        </is>
      </c>
      <c r="C15" s="20" t="inlineStr">
        <is>
          <t>怎麼用這兩個數字</t>
        </is>
      </c>
      <c r="D15" s="18" t="n"/>
    </row>
    <row r="16" ht="44" customHeight="1" s="13">
      <c r="A16" s="9">
        <f>(COUNTIF(題庫與素材!E6:E22,"✓")+COUNTIF(題庫與素材!F6:F22,"✓")+COUNTIF(檢核表!C6:C11,"✓")+COUNTIF(檢核表!C16:C21,"✓")+COUNTIF(檢核表!C26:C31,"✓"))/52</f>
        <v/>
      </c>
      <c r="B16" s="17">
        <f>52-(COUNTIF(題庫與素材!E6:E22,"✓")+COUNTIF(題庫與素材!F6:F22,"✓")+COUNTIF(檢核表!C6:C11,"✓")+COUNTIF(檢核表!C16:C21,"✓")+COUNTIF(檢核表!C26:C31,"✓"))</f>
        <v/>
      </c>
      <c r="C16" s="17" t="inlineStr">
        <is>
          <t>「還沒打勾」就是你的工作清單長度。回「檢核表」看那幾列的「下一步」欄，一項對應一件要做的事。</t>
        </is>
      </c>
      <c r="D16" s="18" t="n"/>
    </row>
    <row r="17" ht="42" customHeight="1" s="13">
      <c r="A17" s="10" t="inlineStr">
        <is>
          <t>不用追求一次補完。每次回來處理三到五項，隔幾天再打一次，你會看得到自己的進度。</t>
        </is>
      </c>
    </row>
    <row r="18" ht="14" customHeight="1" s="13"/>
    <row r="19" ht="28" customHeight="1" s="13">
      <c r="A19" s="6" t="inlineStr">
        <is>
          <t># 搭配文章：人文社科研究所口試怎麼準備？答辯研究計畫的完整邏輯　https://tbd-edu.com/pages/resources/humanities-graduate-oral.html</t>
        </is>
      </c>
      <c r="B19" s="5" t="n"/>
      <c r="C19" s="5" t="n"/>
      <c r="D19" s="5" t="n"/>
      <c r="E19" s="5" t="n"/>
    </row>
    <row r="20" ht="28" customHeight="1" s="13">
      <c r="A20" s="6" t="inlineStr">
        <is>
          <t># TBD Studio ｜ https://tbd-edu.com/</t>
        </is>
      </c>
      <c r="B20" s="5" t="n"/>
      <c r="C20" s="5" t="n"/>
      <c r="D20" s="5" t="n"/>
      <c r="E20" s="5" t="n"/>
    </row>
  </sheetData>
  <mergeCells count="5">
    <mergeCell ref="A17:D17"/>
    <mergeCell ref="C16:D16"/>
    <mergeCell ref="C15:D15"/>
    <mergeCell ref="A12:D12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C32" sqref="C32"/>
    </sheetView>
  </sheetViews>
  <sheetFormatPr baseColWidth="10" defaultColWidth="9" defaultRowHeight="14"/>
  <cols>
    <col width="16" customWidth="1" style="13" min="1" max="1"/>
    <col width="22" customWidth="1" style="13" min="2" max="2"/>
    <col width="66.3984375" customWidth="1" style="13" min="3" max="3"/>
    <col width="67.796875" customWidth="1" style="13" min="4" max="4"/>
    <col width="14" customWidth="1" style="13" min="5" max="5"/>
    <col width="12" customWidth="1" style="13" min="6" max="6"/>
  </cols>
  <sheetData>
    <row r="1" ht="30" customHeight="1" s="13">
      <c r="A1" s="1" t="inlineStr">
        <is>
          <t>人文與社會科學｜口試自我檢核表：研究計畫答辯　v1</t>
        </is>
      </c>
    </row>
    <row r="2" ht="28" customHeight="1" s="13">
      <c r="A2" s="22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3"/>
    <row r="4" ht="24" customHeight="1" s="13">
      <c r="A4" s="2" t="inlineStr">
        <is>
          <t>模擬追問紀錄</t>
        </is>
      </c>
    </row>
    <row r="5" ht="26" customHeight="1" s="13">
      <c r="A5" s="20" t="inlineStr">
        <is>
          <t>日期</t>
        </is>
      </c>
      <c r="B5" s="20" t="inlineStr">
        <is>
          <t>追問類型</t>
        </is>
      </c>
      <c r="C5" s="20" t="inlineStr">
        <is>
          <t>被問倒的地方</t>
        </is>
      </c>
      <c r="D5" s="20" t="inlineStr">
        <is>
          <t>我的下一步</t>
        </is>
      </c>
      <c r="E5" s="20" t="inlineStr">
        <is>
          <t>已改進</t>
        </is>
      </c>
    </row>
    <row r="6" ht="32" customHeight="1" s="13">
      <c r="A6" s="11" t="n"/>
      <c r="B6" s="19" t="n"/>
      <c r="C6" s="19" t="n"/>
      <c r="D6" s="19" t="n"/>
      <c r="E6" s="19" t="n"/>
    </row>
    <row r="7" ht="32" customHeight="1" s="13">
      <c r="A7" s="11" t="n"/>
      <c r="B7" s="19" t="n"/>
      <c r="C7" s="19" t="n"/>
      <c r="D7" s="19" t="n"/>
      <c r="E7" s="19" t="n"/>
    </row>
    <row r="8" ht="32" customHeight="1" s="13">
      <c r="A8" s="11" t="n"/>
      <c r="B8" s="19" t="n"/>
      <c r="C8" s="19" t="n"/>
      <c r="D8" s="19" t="n"/>
      <c r="E8" s="19" t="n"/>
    </row>
    <row r="9" ht="32" customHeight="1" s="13">
      <c r="A9" s="11" t="n"/>
      <c r="B9" s="19" t="n"/>
      <c r="C9" s="19" t="n"/>
      <c r="D9" s="19" t="n"/>
      <c r="E9" s="19" t="n"/>
    </row>
    <row r="10" ht="32" customHeight="1" s="13">
      <c r="A10" s="11" t="n"/>
      <c r="B10" s="19" t="n"/>
      <c r="C10" s="19" t="n"/>
      <c r="D10" s="19" t="n"/>
      <c r="E10" s="19" t="n"/>
    </row>
    <row r="11" ht="32" customHeight="1" s="13">
      <c r="A11" s="11" t="n"/>
      <c r="B11" s="19" t="n"/>
      <c r="C11" s="19" t="n"/>
      <c r="D11" s="19" t="n"/>
      <c r="E11" s="19" t="n"/>
    </row>
    <row r="12" ht="32" customHeight="1" s="13">
      <c r="A12" s="11" t="n"/>
      <c r="B12" s="19" t="n"/>
      <c r="C12" s="19" t="n"/>
      <c r="D12" s="19" t="n"/>
      <c r="E12" s="19" t="n"/>
    </row>
    <row r="13" ht="32" customHeight="1" s="13">
      <c r="A13" s="11" t="n"/>
      <c r="B13" s="19" t="n"/>
      <c r="C13" s="19" t="n"/>
      <c r="D13" s="19" t="n"/>
      <c r="E13" s="19" t="n"/>
    </row>
    <row r="14" ht="32" customHeight="1" s="13">
      <c r="A14" s="11" t="n"/>
      <c r="B14" s="19" t="n"/>
      <c r="C14" s="19" t="n"/>
      <c r="D14" s="19" t="n"/>
      <c r="E14" s="19" t="n"/>
    </row>
    <row r="15" ht="32" customHeight="1" s="13">
      <c r="A15" s="11" t="n"/>
      <c r="B15" s="19" t="n"/>
      <c r="C15" s="19" t="n"/>
      <c r="D15" s="19" t="n"/>
      <c r="E15" s="19" t="n"/>
    </row>
    <row r="16" ht="42" customHeight="1" s="13">
      <c r="A16" s="10" t="inlineStr">
        <is>
          <t>自己想過和被別人連續追問是兩種壓力。找學長姐、同學或顧問各做一輪，每一類都要問到。</t>
        </is>
      </c>
    </row>
    <row r="17" ht="14" customHeight="1" s="13"/>
    <row r="18" ht="28" customHeight="1" s="13">
      <c r="A18" s="6" t="inlineStr">
        <is>
          <t># 搭配文章：人文社科研究所口試怎麼準備？答辯研究計畫的完整邏輯　https://tbd-edu.com/pages/resources/humanities-graduate-oral.html</t>
        </is>
      </c>
    </row>
    <row r="19" ht="28" customHeight="1" s="13">
      <c r="A19" s="6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"研究問題,文獻與理論,材料與方法,契合度與未來"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2026-09-12T00:33:59Z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