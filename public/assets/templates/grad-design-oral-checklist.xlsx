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family val="2"/>
      <color theme="1"/>
      <sz val="11"/>
      <scheme val="minor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Arial"/>
      <family val="2"/>
      <b val="1"/>
      <color rgb="FFA54E3D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5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/>
      <bottom style="thin">
        <color rgb="FFC8D2DE"/>
      </bottom>
      <diagonal/>
    </border>
    <border>
      <left/>
      <right/>
      <top style="thin">
        <color rgb="FFC8D2DE"/>
      </top>
      <bottom/>
      <diagonal/>
    </border>
  </borders>
  <cellStyleXfs count="1">
    <xf numFmtId="0" fontId="0" fillId="0" borderId="2"/>
  </cellStyleXfs>
  <cellXfs count="24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horizontal="left"/>
    </xf>
    <xf numFmtId="0" fontId="4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2" applyAlignment="1" pivotButton="0" quotePrefix="0" xfId="0">
      <alignment vertical="center"/>
    </xf>
    <xf numFmtId="0" fontId="7" fillId="4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14" fontId="7" fillId="4" borderId="1" applyAlignment="1" pivotButton="0" quotePrefix="0" xfId="0">
      <alignment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7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0" zoomScale="75" workbookViewId="0">
      <pane ySplit="2" topLeftCell="A95" activePane="bottomLeft" state="frozen"/>
      <selection pane="bottomLeft" activeCell="A115" sqref="A115"/>
    </sheetView>
  </sheetViews>
  <sheetFormatPr baseColWidth="10" defaultColWidth="9" defaultRowHeight="14"/>
  <cols>
    <col width="82.59765625" customWidth="1" style="14" min="1" max="1"/>
    <col width="99.796875" customWidth="1" style="14" min="2" max="2"/>
    <col width="66.3984375" customWidth="1" style="14" min="3" max="3"/>
    <col width="14" customWidth="1" style="14" min="4" max="4"/>
    <col width="12" customWidth="1" style="14" min="5" max="6"/>
  </cols>
  <sheetData>
    <row r="1" ht="30" customHeight="1" s="14">
      <c r="A1" s="2" t="inlineStr">
        <is>
          <t>設計傳播｜口試自我檢核表：作品講評　v1</t>
        </is>
      </c>
    </row>
    <row r="2" ht="28" customHeight="1" s="14">
      <c r="A2" s="18" t="inlineStr">
        <is>
          <t>先讀這頁，大約7分鐘。這份工具有五個分頁，主體是題庫與打勾。</t>
        </is>
      </c>
    </row>
    <row r="3" ht="40" customHeight="1" s="14"/>
    <row r="4" ht="24" customHeight="1" s="14">
      <c r="A4" s="1" t="inlineStr">
        <is>
          <t>這份表是什麼、不是什麼</t>
        </is>
      </c>
    </row>
    <row r="5" ht="26" customHeight="1" s="14">
      <c r="A5" s="3" t="inlineStr">
        <is>
          <t>它是</t>
        </is>
      </c>
      <c r="B5" s="3" t="inlineStr">
        <is>
          <t>它不是</t>
        </is>
      </c>
    </row>
    <row r="6" ht="50" customHeight="1" s="14">
      <c r="A6" s="4" t="inlineStr">
        <is>
          <t>一面鏡子。照出你對每件代表作的設計判斷、作品與研究計畫的連結想到哪了，哪些題目還答不出來。</t>
        </is>
      </c>
      <c r="B6" s="4" t="inlineStr">
        <is>
          <t>作品集的重新介紹。教授手上已經有你的作品集，現場再講一次製作流程，等於浪費他的時間。</t>
        </is>
      </c>
    </row>
    <row r="7" ht="50" customHeight="1" s="14">
      <c r="A7" s="4" t="inlineStr">
        <is>
          <t>一次二十分鐘就做得完的自我盤點。</t>
        </is>
      </c>
      <c r="B7" s="4" t="inlineStr">
        <is>
          <t>口才訓練。這裡不教你怎麼講，只告訴你哪一題還沒想通。</t>
        </is>
      </c>
    </row>
    <row r="8" ht="50" customHeight="1" s="14">
      <c r="A8" s="4" t="inlineStr">
        <is>
          <t>可以重複用的。每模擬一次口試就回來打一次。</t>
        </is>
      </c>
      <c r="B8" s="4" t="inlineStr">
        <is>
          <t>一次性的清單。全部打完勾不是終點，是可以上場的起點。</t>
        </is>
      </c>
    </row>
    <row r="9" ht="40" customHeight="1" s="14"/>
    <row r="10" ht="24" customHeight="1" s="14">
      <c r="A10" s="1" t="inlineStr">
        <is>
          <t>設計口試哪裡不一樣</t>
        </is>
      </c>
    </row>
    <row r="11" ht="48" customHeight="1" s="14">
      <c r="A11" s="15" t="inlineStr">
        <is>
          <t>一般研究所口試多半圍繞研究計畫書答辯。設計口試多了一個關鍵環節：教授會直接面對你的作品——當場翻你的作品集、要你說明某件作品、追問某個設計決定，甚至給出當下的講評。</t>
        </is>
      </c>
      <c r="B11" s="19" t="n"/>
    </row>
    <row r="12" ht="26" customHeight="1" s="14">
      <c r="A12" s="3" t="inlineStr">
        <is>
          <t>教授在評估的三件事</t>
        </is>
      </c>
      <c r="B12" s="3" t="inlineStr">
        <is>
          <t>意思</t>
        </is>
      </c>
    </row>
    <row r="13" ht="32" customHeight="1" s="14">
      <c r="A13" s="4" t="inlineStr">
        <is>
          <t>能不能說清楚每個設計決定背後的理由</t>
        </is>
      </c>
      <c r="B13" s="4" t="inlineStr">
        <is>
          <t>而不只是「我覺得這樣比較好看」。</t>
        </is>
      </c>
    </row>
    <row r="14" ht="32" customHeight="1" s="14">
      <c r="A14" s="4" t="inlineStr">
        <is>
          <t>對自己作品的侷限有沒有清醒的認識</t>
        </is>
      </c>
      <c r="B14" s="4" t="inlineStr">
        <is>
          <t>能回答「如果重做會怎麼改」的人，最讓評審放心。</t>
        </is>
      </c>
    </row>
    <row r="15" ht="48" customHeight="1" s="14">
      <c r="A15" s="4" t="inlineStr">
        <is>
          <t>面對不同意見時，是死守還是能進行有深度的設計對話</t>
        </is>
      </c>
      <c r="B15" s="4" t="inlineStr">
        <is>
          <t>教授想知道：這個人進來之後，能不能一起討論設計。</t>
        </is>
      </c>
    </row>
    <row r="16" ht="40" customHeight="1" s="14"/>
    <row r="17" ht="24" customHeight="1" s="14">
      <c r="A17" s="1" t="inlineStr">
        <is>
          <t>怎麼為作品答辯：問題—決定—侷限</t>
        </is>
      </c>
    </row>
    <row r="18" ht="48" customHeight="1" s="14">
      <c r="A18" s="20" t="inlineStr">
        <is>
          <t>為作品答辯，核心是能對每個重要決定說清楚「為什麼」。針對作品集裡的每件代表作，先問自己三個問題。把這套邏輯練熟，現場無論被指到哪一件，你都答得出來。</t>
        </is>
      </c>
    </row>
    <row r="19" ht="26" customHeight="1" s="14">
      <c r="A19" s="3" t="inlineStr">
        <is>
          <t>三個問題</t>
        </is>
      </c>
      <c r="B19" s="3" t="inlineStr">
        <is>
          <t>在確認什麼</t>
        </is>
      </c>
    </row>
    <row r="20" ht="32" customHeight="1" s="14">
      <c r="A20" s="4" t="inlineStr">
        <is>
          <t>這件作品的問題是什麼？你想解決或探索什麼？</t>
        </is>
      </c>
      <c r="B20" s="4" t="inlineStr">
        <is>
          <t>作品有沒有問題意識，不是只有成品。</t>
        </is>
      </c>
    </row>
    <row r="21" ht="32" customHeight="1" s="14">
      <c r="A21" s="4" t="inlineStr">
        <is>
          <t>你做了哪些關鍵決定？為什麼這樣選，而不是別的做法？</t>
        </is>
      </c>
      <c r="B21" s="4" t="inlineStr">
        <is>
          <t>設計判斷有沒有依據：觀察、使用者／受眾回饋、資料、參考案例。</t>
        </is>
      </c>
    </row>
    <row r="22" ht="32" customHeight="1" s="14">
      <c r="A22" s="4" t="inlineStr">
        <is>
          <t>如果重做，你會怎麼改？哪裡還不夠好？</t>
        </is>
      </c>
      <c r="B22" s="4" t="inlineStr">
        <is>
          <t>證明你不是停在成品，而是還在思考。</t>
        </is>
      </c>
    </row>
    <row r="23" ht="40" customHeight="1" s="14"/>
    <row r="24" ht="24" customHeight="1" s="14">
      <c r="A24" s="1" t="inlineStr">
        <is>
          <t>面對講評與批評</t>
        </is>
      </c>
    </row>
    <row r="25" ht="48" customHeight="1" s="14">
      <c r="A25" s="20" t="inlineStr">
        <is>
          <t>設計圈有 critique 的文化，教授當場提出質疑或不同看法是常態，不代表否定你。最忌諱的兩種反應：立刻退縮全盤否定自己，或過度防衛、說不出理由地硬拗。</t>
        </is>
      </c>
    </row>
    <row r="26" ht="26" customHeight="1" s="14">
      <c r="A26" s="3" t="inlineStr">
        <is>
          <t>成熟的回應節奏</t>
        </is>
      </c>
      <c r="B26" s="3" t="inlineStr">
        <is>
          <t>例句</t>
        </is>
      </c>
    </row>
    <row r="27" ht="32" customHeight="1" s="14">
      <c r="A27" s="4" t="inlineStr">
        <is>
          <t>1 先確認你理解對方的意見</t>
        </is>
      </c>
      <c r="B27" s="4" t="inlineStr">
        <is>
          <t>「您是指……這個部分嗎？」</t>
        </is>
      </c>
    </row>
    <row r="28" ht="32" customHeight="1" s="14">
      <c r="A28" s="4" t="inlineStr">
        <is>
          <t>2 承認有道理的部分</t>
        </is>
      </c>
      <c r="B28" s="4" t="inlineStr">
        <is>
          <t>「這個點我在做的時候也掙扎過……」</t>
        </is>
      </c>
    </row>
    <row r="29" ht="48" customHeight="1" s="14">
      <c r="A29" s="4" t="inlineStr">
        <is>
          <t>3 說明你的取捨，或坦承沒想到、你會怎麼處理</t>
        </is>
      </c>
      <c r="B29" s="4" t="inlineStr">
        <is>
          <t>「我當時選這個做法是因為……；如果要處理您提到的面向，我會……」</t>
        </is>
      </c>
    </row>
    <row r="30" ht="42" customHeight="1" s="14">
      <c r="A30" s="17" t="inlineStr">
        <is>
          <t>這個節奏讓教授看到你能在壓力下進行設計對話，而不是要你當場給出完美答案。</t>
        </is>
      </c>
      <c r="B30" s="21" t="n"/>
    </row>
    <row r="31" ht="40" customHeight="1" s="14"/>
    <row r="32" ht="24" customHeight="1" s="14">
      <c r="A32" s="1" t="inlineStr">
        <is>
          <t>五步答題框架</t>
        </is>
      </c>
    </row>
    <row r="33" ht="26" customHeight="1" s="14">
      <c r="A33" s="3" t="inlineStr">
        <is>
          <t>步驟</t>
        </is>
      </c>
      <c r="B33" s="3" t="inlineStr">
        <is>
          <t>作用</t>
        </is>
      </c>
    </row>
    <row r="34" ht="32" customHeight="1" s="14">
      <c r="A34" s="4" t="inlineStr">
        <is>
          <t>1 確認問題</t>
        </is>
      </c>
      <c r="B34" s="4" t="inlineStr">
        <is>
          <t>確保答的是教授真正問的，也替自己爭取思考時間。</t>
        </is>
      </c>
    </row>
    <row r="35" ht="32" customHeight="1" s="14">
      <c r="A35" s="4" t="inlineStr">
        <is>
          <t>2 說明原始選擇</t>
        </is>
      </c>
      <c r="B35" s="4" t="inlineStr">
        <is>
          <t>說明這個設計決定當初為什麼這樣做。</t>
        </is>
      </c>
    </row>
    <row r="36" ht="32" customHeight="1" s="14">
      <c r="A36" s="4" t="inlineStr">
        <is>
          <t>3 解釋依據</t>
        </is>
      </c>
      <c r="B36" s="4" t="inlineStr">
        <is>
          <t>用觀察、使用者／受眾回饋、資料或參考案例支持這個選擇。</t>
        </is>
      </c>
    </row>
    <row r="37" ht="32" customHeight="1" s="14">
      <c r="A37" s="4" t="inlineStr">
        <is>
          <t>4 承認限制</t>
        </is>
      </c>
      <c r="B37" s="4" t="inlineStr">
        <is>
          <t>明確說出這個做法目前處理不到、不能證明或不適用的地方。</t>
        </is>
      </c>
    </row>
    <row r="38" ht="32" customHeight="1" s="14">
      <c r="A38" s="4" t="inlineStr">
        <is>
          <t>5 提出替代</t>
        </is>
      </c>
      <c r="B38" s="4" t="inlineStr">
        <is>
          <t>如果重做會怎麼調整，並說明替代方案的代價。</t>
        </is>
      </c>
    </row>
    <row r="39" ht="40" customHeight="1" s="14"/>
    <row r="40" ht="24" customHeight="1" s="14">
      <c r="A40" s="1" t="inlineStr">
        <is>
          <t>什麼時候用，可以用幾次</t>
        </is>
      </c>
    </row>
    <row r="41" ht="48" customHeight="1" s="14">
      <c r="A41" s="20" t="inlineStr">
        <is>
          <t>送件之後就可以開始打第一次，那時候題庫會有一半是空的，那正是它的用途。之後每做一次模擬講評就回來打一次，口試前一天不要再趕作品，把已經準備好的東西再過一遍就好。</t>
        </is>
      </c>
    </row>
    <row r="42" ht="40" customHeight="1" s="14"/>
    <row r="43" ht="24" customHeight="1" s="14">
      <c r="A43" s="1" t="inlineStr">
        <is>
          <t>五個分頁的分工</t>
        </is>
      </c>
    </row>
    <row r="44" ht="26" customHeight="1" s="14">
      <c r="A44" s="3" t="inlineStr">
        <is>
          <t>分頁</t>
        </is>
      </c>
      <c r="B44" s="3" t="inlineStr">
        <is>
          <t>做什麼</t>
        </is>
      </c>
    </row>
    <row r="45" ht="48" customHeight="1" s="14">
      <c r="A45" s="4" t="inlineStr">
        <is>
          <t>先讀這裡</t>
        </is>
      </c>
      <c r="B45" s="4" t="inlineStr">
        <is>
          <t>你正在讀的這頁。教授在評估什麼、問題—決定—侷限、講評的回應節奏、怎麼打勾、卡關怎麼辦。</t>
        </is>
      </c>
    </row>
    <row r="46" ht="48" customHeight="1" s="14">
      <c r="A46" s="4" t="inlineStr">
        <is>
          <t>題庫與素材</t>
        </is>
      </c>
      <c r="B46" s="4" t="inlineStr">
        <is>
          <t>要動手的地方。十九題各寫答案要點並打兩個勾，再填五步框架、三件代表作的三句話、開場、講評回應。</t>
        </is>
      </c>
    </row>
    <row r="47" ht="48" customHeight="1" s="14">
      <c r="A47" s="4" t="inlineStr">
        <is>
          <t>檢核表</t>
        </is>
      </c>
      <c r="B47" s="4" t="inlineStr">
        <is>
          <t>5 區共 30 項，逐項打勾。每一項旁邊都寫好了沒打勾的話下一步做什麼。</t>
        </is>
      </c>
    </row>
    <row r="48" ht="32" customHeight="1" s="14">
      <c r="A48" s="4" t="inlineStr">
        <is>
          <t>我到哪了</t>
        </is>
      </c>
      <c r="B48" s="4" t="inlineStr">
        <is>
          <t>打完之後看這頁。7 區完成度與還沒打勾的數量。</t>
        </is>
      </c>
    </row>
    <row r="49" ht="48" customHeight="1" s="14">
      <c r="A49" s="4" t="inlineStr">
        <is>
          <t>模擬追問紀錄</t>
        </is>
      </c>
      <c r="B49" s="4" t="inlineStr">
        <is>
          <t>每找人模擬一次就記一列。被問倒或講不清楚的地方就是接下來要補的，不用寫得漂亮。</t>
        </is>
      </c>
    </row>
    <row r="50" ht="40" customHeight="1" s="14"/>
    <row r="51" ht="24" customHeight="1" s="14">
      <c r="A51" s="1" t="inlineStr">
        <is>
          <t>四個步驟</t>
        </is>
      </c>
    </row>
    <row r="52" ht="26" customHeight="1" s="14">
      <c r="A52" s="3" t="inlineStr">
        <is>
          <t>步驟</t>
        </is>
      </c>
      <c r="B52" s="3" t="inlineStr">
        <is>
          <t>做什麼</t>
        </is>
      </c>
    </row>
    <row r="53" ht="48" customHeight="1" s="14">
      <c r="A53" s="4" t="inlineStr">
        <is>
          <t>第 1 步</t>
        </is>
      </c>
      <c r="B53" s="4" t="inlineStr">
        <is>
          <t>切到「題庫與素材」分頁，十九題先寫答案要點。寫得出來就勾「寫出答案」。</t>
        </is>
      </c>
    </row>
    <row r="54" ht="32" customHeight="1" s="14">
      <c r="A54" s="4" t="inlineStr">
        <is>
          <t>第 2 步</t>
        </is>
      </c>
      <c r="B54" s="4" t="inlineStr">
        <is>
          <t>填三件代表作的問題—決定—侷限、一到兩分鐘開場、講評回應的三步。</t>
        </is>
      </c>
    </row>
    <row r="55" ht="48" customHeight="1" s="14">
      <c r="A55" s="4" t="inlineStr">
        <is>
          <t>第 3 步</t>
        </is>
      </c>
      <c r="B55" s="4" t="inlineStr">
        <is>
          <t>找會挑戰你的同領域夥伴做一次模擬講評，講得出來的題目勾「練過口說」。再切到「檢核表」5 區打勾。</t>
        </is>
      </c>
    </row>
    <row r="56" ht="32" customHeight="1" s="14">
      <c r="A56" s="4" t="inlineStr">
        <is>
          <t>第 4 步</t>
        </is>
      </c>
      <c r="B56" s="4" t="inlineStr">
        <is>
          <t>切到「我到哪了」看哪一區最短，回頭補沒打勾的那幾項。</t>
        </is>
      </c>
    </row>
    <row r="57" ht="40" customHeight="1" s="14"/>
    <row r="58" ht="24" customHeight="1" s="14">
      <c r="A58" s="1" t="inlineStr">
        <is>
          <t>七個區塊各在檢查什麼</t>
        </is>
      </c>
    </row>
    <row r="59" ht="26" customHeight="1" s="14">
      <c r="A59" s="3" t="inlineStr">
        <is>
          <t>區塊</t>
        </is>
      </c>
      <c r="B59" s="3" t="inlineStr">
        <is>
          <t>幾項</t>
        </is>
      </c>
      <c r="C59" s="3" t="inlineStr">
        <is>
          <t>在檢查什麼</t>
        </is>
      </c>
    </row>
    <row r="60" ht="46" customHeight="1" s="14">
      <c r="A60" s="4" t="inlineStr">
        <is>
          <t>題庫：寫出答案</t>
        </is>
      </c>
      <c r="B60" s="4" t="inlineStr">
        <is>
          <t>19</t>
        </is>
      </c>
      <c r="C60" s="4" t="inlineStr">
        <is>
          <t>四類追問十九題，寫得出答案要點了沒。</t>
        </is>
      </c>
    </row>
    <row r="61" ht="46" customHeight="1" s="14">
      <c r="A61" s="4" t="inlineStr">
        <is>
          <t>題庫：練過口說</t>
        </is>
      </c>
      <c r="B61" s="4" t="inlineStr">
        <is>
          <t>19</t>
        </is>
      </c>
      <c r="C61" s="4" t="inlineStr">
        <is>
          <t>同樣十九題，被當場追問時講得出來了沒。</t>
        </is>
      </c>
    </row>
    <row r="62" ht="46" customHeight="1" s="14">
      <c r="A62" s="4" t="inlineStr">
        <is>
          <t>開場與研究主張</t>
        </is>
      </c>
      <c r="B62" s="4" t="inlineStr">
        <is>
          <t>5</t>
        </is>
      </c>
      <c r="C62" s="4" t="inlineStr">
        <is>
          <t>三分鐘說得清作品與研究方向、每件作品的設計判斷。</t>
        </is>
      </c>
    </row>
    <row r="63" ht="46" customHeight="1" s="14">
      <c r="A63" s="4" t="inlineStr">
        <is>
          <t>面對作品講評</t>
        </is>
      </c>
      <c r="B63" s="4" t="inlineStr">
        <is>
          <t>6</t>
        </is>
      </c>
      <c r="C63" s="4" t="inlineStr">
        <is>
          <t>被質疑時的三步節奏練過了沒。</t>
        </is>
      </c>
    </row>
    <row r="64" ht="46" customHeight="1" s="14">
      <c r="A64" s="4" t="inlineStr">
        <is>
          <t>設計有效性與研究證據</t>
        </is>
      </c>
      <c r="B64" s="4" t="inlineStr">
        <is>
          <t>4</t>
        </is>
      </c>
      <c r="C64" s="4" t="inlineStr">
        <is>
          <t>分得清「我喜歡」和「有證據」。</t>
        </is>
      </c>
    </row>
    <row r="65" ht="46" customHeight="1" s="14">
      <c r="A65" s="4" t="inlineStr">
        <is>
          <t>上場前檢核</t>
        </is>
      </c>
      <c r="B65" s="4" t="inlineStr">
        <is>
          <t>8</t>
        </is>
      </c>
      <c r="C65" s="4" t="inlineStr">
        <is>
          <t>最後那道閘門。這八項沒到就還不能上場。</t>
        </is>
      </c>
    </row>
    <row r="66" ht="46" customHeight="1" s="14">
      <c r="A66" s="4" t="inlineStr">
        <is>
          <t>常見失分點</t>
        </is>
      </c>
      <c r="B66" s="4" t="inlineStr">
        <is>
          <t>7</t>
        </is>
      </c>
      <c r="C66" s="4" t="inlineStr">
        <is>
          <t>有沒有踩到最常見的七個失分回答。</t>
        </is>
      </c>
    </row>
    <row r="67" ht="40" customHeight="1" s="14"/>
    <row r="68" ht="24" customHeight="1" s="14">
      <c r="A68" s="1" t="inlineStr">
        <is>
          <t>什麼情況才算 ✓</t>
        </is>
      </c>
    </row>
    <row r="69" ht="48" customHeight="1" s="14">
      <c r="A69" s="22" t="inlineStr">
        <is>
          <t>打勾之前先問自己一句：如果教授現在指著作品或研究計畫追問，我能不用翻資料，說出「為什麼這樣做、依據是什麼、還有什麼限制」嗎。講得出來才算 ✓，覺得「應該會吧」不算。</t>
        </is>
      </c>
    </row>
    <row r="70" ht="32" customHeight="1" s="14">
      <c r="A70" s="22" t="inlineStr">
        <is>
          <t>這張表只有你自己會看。寬鬆給分唯一的效果，是讓你在口試現場才發現缺口。留白不是失敗，留白就是你接下來的工作清單。</t>
        </is>
      </c>
    </row>
    <row r="71" ht="32" customHeight="1" s="14">
      <c r="A71" s="23" t="inlineStr">
        <is>
          <t>「常見失分點」那一區的語意是相反的：✓ 代表「我確認自己不會這樣答」。表頭上有標。</t>
        </is>
      </c>
    </row>
    <row r="72" ht="40" customHeight="1" s="14"/>
    <row r="73" ht="24" customHeight="1" s="14">
      <c r="A73" s="1" t="inlineStr">
        <is>
          <t>結果怎麼看</t>
        </is>
      </c>
    </row>
    <row r="74" ht="26" customHeight="1" s="14">
      <c r="A74" s="3" t="inlineStr">
        <is>
          <t>你看到的</t>
        </is>
      </c>
      <c r="B74" s="3" t="inlineStr">
        <is>
          <t>代表什麼</t>
        </is>
      </c>
      <c r="C74" s="3" t="inlineStr">
        <is>
          <t>接下來</t>
        </is>
      </c>
    </row>
    <row r="75" ht="48" customHeight="1" s="14">
      <c r="A75" s="4" t="inlineStr">
        <is>
          <t>幾乎全空</t>
        </is>
      </c>
      <c r="B75" s="4" t="inlineStr">
        <is>
          <t>這不是壞消息，這是你現在的起點。</t>
        </is>
      </c>
      <c r="C75" s="4" t="inlineStr">
        <is>
          <t>從「上場前檢核」那八項往回推，一項對應一件要做的事。</t>
        </is>
      </c>
    </row>
    <row r="76" ht="48" customHeight="1" s="14">
      <c r="A76" s="4" t="inlineStr">
        <is>
          <t>寫出答案滿了，練過口說很空</t>
        </is>
      </c>
      <c r="B76" s="4" t="inlineStr">
        <is>
          <t>你想通了，但還沒被當場講評過。</t>
        </is>
      </c>
      <c r="C76" s="4" t="inlineStr">
        <is>
          <t>找會挑戰你的同領域夥伴做模擬講評，記錄答不清楚的地方。</t>
        </is>
      </c>
    </row>
    <row r="77" ht="48" customHeight="1" s="14">
      <c r="A77" s="4" t="inlineStr">
        <is>
          <t>作品與設計決策那五題空著</t>
        </is>
      </c>
      <c r="B77" s="4" t="inlineStr">
        <is>
          <t>作品答辯的核心沒有防守。</t>
        </is>
      </c>
      <c r="C77" s="4" t="inlineStr">
        <is>
          <t>回題庫與素材第三節，每件代表作的問題—決定—侷限各寫三句話。</t>
        </is>
      </c>
    </row>
    <row r="78" ht="48" customHeight="1" s="14">
      <c r="A78" s="4" t="inlineStr">
        <is>
          <t>方法與證據那五題空著</t>
        </is>
      </c>
      <c r="B78" s="4" t="inlineStr">
        <is>
          <t>研究計畫只有執行方案，沒有研究判準。</t>
        </is>
      </c>
      <c r="C78" s="4" t="inlineStr">
        <is>
          <t>先想清楚「什麼情況算失敗」與使用者／受眾資料怎麼蒐集。</t>
        </is>
      </c>
    </row>
    <row r="79" ht="32" customHeight="1" s="14">
      <c r="A79" s="4" t="inlineStr">
        <is>
          <t>上場前檢核沒滿</t>
        </is>
      </c>
      <c r="B79" s="4" t="inlineStr">
        <is>
          <t>還不能上場。</t>
        </is>
      </c>
      <c r="C79" s="4" t="inlineStr">
        <is>
          <t>先補那八項，其他區暫時放著。</t>
        </is>
      </c>
    </row>
    <row r="80" ht="48" customHeight="1" s="14">
      <c r="A80" s="4" t="inlineStr">
        <is>
          <t>68 項全滿</t>
        </is>
      </c>
      <c r="B80" s="4" t="inlineStr">
        <is>
          <t>準備到位了。</t>
        </is>
      </c>
      <c r="C80" s="4" t="inlineStr">
        <is>
          <t>口試前一天不要再趕作品，把開場再講一次，計時。</t>
        </is>
      </c>
    </row>
    <row r="81" ht="40" customHeight="1" s="14"/>
    <row r="82" ht="24" customHeight="1" s="14">
      <c r="A82" s="1" t="inlineStr">
        <is>
          <t>沒打勾的，去哪裡補</t>
        </is>
      </c>
    </row>
    <row r="83" ht="26" customHeight="1" s="14">
      <c r="A83" s="3" t="inlineStr">
        <is>
          <t>缺的是</t>
        </is>
      </c>
      <c r="B83" s="3" t="inlineStr">
        <is>
          <t>去哪裡補</t>
        </is>
      </c>
      <c r="C83" s="3" t="inlineStr">
        <is>
          <t>要補成什麼樣子</t>
        </is>
      </c>
    </row>
    <row r="84" ht="48" customHeight="1" s="14">
      <c r="A84" s="4" t="inlineStr">
        <is>
          <t>某一題寫不出答案</t>
        </is>
      </c>
      <c r="B84" s="4" t="inlineStr">
        <is>
          <t>回作品或研究計畫本身</t>
        </is>
      </c>
      <c r="C84" s="4" t="inlineStr">
        <is>
          <t>那題就是你目前最大的風險。先想通，再寫要點，不要硬背。</t>
        </is>
      </c>
    </row>
    <row r="85" ht="48" customHeight="1" s="14">
      <c r="A85" s="4" t="inlineStr">
        <is>
          <t>只講得出製作流程</t>
        </is>
      </c>
      <c r="B85" s="4" t="inlineStr">
        <is>
          <t>題庫與素材第三節</t>
        </is>
      </c>
      <c r="C85" s="4" t="inlineStr">
        <is>
          <t>每件作品先說在解什麼問題，再說關鍵決定與為什麼不是另一種做法。</t>
        </is>
      </c>
    </row>
    <row r="86" ht="48" customHeight="1" s="14">
      <c r="A86" s="4" t="inlineStr">
        <is>
          <t>設計判斷只有「我覺得好看」</t>
        </is>
      </c>
      <c r="B86" s="4" t="inlineStr">
        <is>
          <t>題庫與素材第三節第二欄</t>
        </is>
      </c>
      <c r="C86" s="4" t="inlineStr">
        <is>
          <t>觀察、使用者／受眾回饋、資料或參考案例，至少一種。</t>
        </is>
      </c>
    </row>
    <row r="87" ht="48" customHeight="1" s="14">
      <c r="A87" s="4" t="inlineStr">
        <is>
          <t>作品和研究計畫接不起來</t>
        </is>
      </c>
      <c r="B87" s="4" t="inlineStr">
        <is>
          <t>題庫與素材第四節</t>
        </is>
      </c>
      <c r="C87" s="4" t="inlineStr">
        <is>
          <t>開場要說清楚研究方向與作品的連結，不是最後才硬轉到研究題目。</t>
        </is>
      </c>
    </row>
    <row r="88" ht="48" customHeight="1" s="14">
      <c r="A88" s="4" t="inlineStr">
        <is>
          <t>被批評就全盤否定自己或硬拗</t>
        </is>
      </c>
      <c r="B88" s="4" t="inlineStr">
        <is>
          <t>題庫與素材第五節</t>
        </is>
      </c>
      <c r="C88" s="4" t="inlineStr">
        <is>
          <t>確認理解 → 承認有道理的部分 → 說明取捨或坦承會怎麼處理。</t>
        </is>
      </c>
    </row>
    <row r="89" ht="48" customHeight="1" s="14">
      <c r="A89" s="4" t="inlineStr">
        <is>
          <t>「什麼情況算失敗」答不出</t>
        </is>
      </c>
      <c r="B89" s="4" t="inlineStr">
        <is>
          <t>題庫方法與證據第三題</t>
        </is>
      </c>
      <c r="C89" s="4" t="inlineStr">
        <is>
          <t>說得出方向不成立或設計無效的判準，才是研究不是接案。</t>
        </is>
      </c>
    </row>
    <row r="90" ht="48" customHeight="1" s="14">
      <c r="A90" s="4" t="inlineStr">
        <is>
          <t>為什麼選本所答不好</t>
        </is>
      </c>
      <c r="B90" s="4" t="inlineStr">
        <is>
          <t>題庫動機與適配</t>
        </is>
      </c>
      <c r="C90" s="4" t="inlineStr">
        <is>
          <t>學術型、實務型還是兩者並重，自己走哪一條，想跟哪位老師、為什麼。</t>
        </is>
      </c>
    </row>
    <row r="91" ht="48" customHeight="1" s="14">
      <c r="A91" s="4" t="inlineStr">
        <is>
          <t>團體作品說不清自己做了什麼</t>
        </is>
      </c>
      <c r="B91" s="4" t="inlineStr">
        <is>
          <t>題庫作品與設計決策第三題</t>
        </is>
      </c>
      <c r="C91" s="4" t="inlineStr">
        <is>
          <t>哪些判斷與執行真的是你負責的，具體到能被追問細節。</t>
        </is>
      </c>
    </row>
    <row r="92" ht="42" customHeight="1" s="14">
      <c r="A92" s="9" t="inlineStr">
        <is>
          <t>要寫成完整答案的部分寫在你自己的筆記裡，這裡只負責告訴你缺什麼。</t>
        </is>
      </c>
    </row>
    <row r="93" ht="40" customHeight="1" s="14"/>
    <row r="94" ht="24" customHeight="1" s="14">
      <c r="A94" s="1" t="inlineStr">
        <is>
          <t>卡關時</t>
        </is>
      </c>
    </row>
    <row r="95" ht="26" customHeight="1" s="14">
      <c r="A95" s="3" t="inlineStr">
        <is>
          <t>狀況</t>
        </is>
      </c>
      <c r="B95" s="3" t="inlineStr">
        <is>
          <t>怎麼辦</t>
        </is>
      </c>
    </row>
    <row r="96" ht="70" customHeight="1" s="14">
      <c r="A96" s="4" t="inlineStr">
        <is>
          <t>教授當場說不喜歡我的作品</t>
        </is>
      </c>
      <c r="B96" s="4" t="inlineStr">
        <is>
          <t>先確認他說的是哪一點、指的是「不喜歡」還是「沒解決問題」。承認有道理的部分，說明原始取捨與限制。教授提出質疑不代表否定你，他在看你能不能一起討論設計。</t>
        </is>
      </c>
    </row>
    <row r="97" ht="70" customHeight="1" s="14">
      <c r="A97" s="4" t="inlineStr">
        <is>
          <t>口試要帶實體作品嗎</t>
        </is>
      </c>
      <c r="B97" s="4" t="inlineStr">
        <is>
          <t>先查清楚口試形式：要不要簡報、幾位委員、有沒有現場看作品的環節、需不需要帶實體作品。要帶就確認尺寸、運送與現場展示方式，而且想好為什麼帶它。</t>
        </is>
      </c>
    </row>
    <row r="98" ht="48" customHeight="1" s="14">
      <c r="A98" s="4" t="inlineStr">
        <is>
          <t>研究計畫談的方向在作品集裡看不到</t>
        </is>
      </c>
      <c r="B98" s="4" t="inlineStr">
        <is>
          <t>這是失分點第六項。回頭找作品集裡有沒有問題意識的伏筆，開場時把它接上；找不到就代表研究方向還需要調整，不是口試技巧問題。</t>
        </is>
      </c>
    </row>
    <row r="99" ht="48" customHeight="1" s="14">
      <c r="A99" s="4" t="inlineStr">
        <is>
          <t>練習時同學都說很好</t>
        </is>
      </c>
      <c r="B99" s="4" t="inlineStr">
        <is>
          <t>同溫層太懂你的作品，聽不出你哪裡跳過了解釋。找會挑戰你的同領域夥伴做一次模擬講評，記錄答不清楚的地方再補強。</t>
        </is>
      </c>
    </row>
    <row r="100" ht="48" customHeight="1" s="14">
      <c r="A100" s="4" t="inlineStr">
        <is>
          <t>兩次打出來的數字一樣</t>
        </is>
      </c>
      <c r="B100" s="4" t="inlineStr">
        <is>
          <t>檢查一下是不是這段時間都在改作品、沒有找人練。口試前一天不要再趕作品。</t>
        </is>
      </c>
    </row>
    <row r="101" ht="40" customHeight="1" s="14"/>
    <row r="102" ht="14" customHeight="1" s="14"/>
    <row r="103" ht="28" customHeight="1" s="14">
      <c r="A103" s="5" t="inlineStr">
        <is>
          <t># 搭配文章：設計研究所口試與作品集講評怎麼準備　https://tbd-edu.com/pages/resources/design-graduate-oral.html</t>
        </is>
      </c>
    </row>
    <row r="104" ht="28" customHeight="1" s="14">
      <c r="A104" s="5" t="inlineStr">
        <is>
          <t># TBD Studio ｜ https://tbd-edu.com/</t>
        </is>
      </c>
    </row>
  </sheetData>
  <mergeCells count="10">
    <mergeCell ref="A30:B30"/>
    <mergeCell ref="A71:C71"/>
    <mergeCell ref="A25:B25"/>
    <mergeCell ref="A41:B41"/>
    <mergeCell ref="A11:B11"/>
    <mergeCell ref="A70:C70"/>
    <mergeCell ref="A92:C92"/>
    <mergeCell ref="A69:C69"/>
    <mergeCell ref="A18:B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zoomScale="75" workbookViewId="0">
      <pane ySplit="2" topLeftCell="A42" activePane="bottomLeft" state="frozen"/>
      <selection pane="bottomLeft" activeCell="A55" sqref="A55:XFD55"/>
    </sheetView>
  </sheetViews>
  <sheetFormatPr baseColWidth="10" defaultColWidth="9" defaultRowHeight="14"/>
  <cols>
    <col width="35.3984375" customWidth="1" style="14" min="1" max="1"/>
    <col width="98" customWidth="1" style="14" min="2" max="2"/>
    <col width="63.796875" customWidth="1" style="14" min="3" max="3"/>
    <col width="45" customWidth="1" style="14" min="4" max="4"/>
    <col width="17.3984375" customWidth="1" style="14" min="5" max="5"/>
    <col width="12" customWidth="1" style="14" min="6" max="6"/>
  </cols>
  <sheetData>
    <row r="1" ht="30" customHeight="1" s="14">
      <c r="A1" s="2" t="inlineStr">
        <is>
          <t>設計傳播｜口試自我檢核表：作品講評　v1</t>
        </is>
      </c>
    </row>
    <row r="2" ht="28" customHeight="1" s="14">
      <c r="A2" s="18" t="inlineStr">
        <is>
          <t>先寫答案要點，再練口說。每題兩個勾：寫出答案了、練過口說了。判準見「先讀這裡」分頁。淡黃色的儲存格是要你填或勾的，其餘是給你讀的。</t>
        </is>
      </c>
    </row>
    <row r="3" ht="40" customHeight="1" s="14"/>
    <row r="4" ht="24" customHeight="1" s="14">
      <c r="A4" s="1" t="inlineStr">
        <is>
          <t>一、四類追問題庫（19 題）</t>
        </is>
      </c>
    </row>
    <row r="5" ht="26" customHeight="1" s="14">
      <c r="A5" s="3" t="inlineStr">
        <is>
          <t>類別</t>
        </is>
      </c>
      <c r="B5" s="3" t="inlineStr">
        <is>
          <t>題目</t>
        </is>
      </c>
      <c r="C5" s="3" t="inlineStr">
        <is>
          <t>我的內容</t>
        </is>
      </c>
      <c r="D5" s="3" t="inlineStr">
        <is>
          <t>寫出答案</t>
        </is>
      </c>
      <c r="E5" s="3" t="inlineStr">
        <is>
          <t>練過口說</t>
        </is>
      </c>
    </row>
    <row r="6" ht="38" customHeight="1" s="14">
      <c r="A6" s="4" t="inlineStr">
        <is>
          <t>作品與設計決策</t>
        </is>
      </c>
      <c r="B6" s="4" t="inlineStr">
        <is>
          <t>這件作品最不滿意的地方是什麼？如果重做會改什麼？</t>
        </is>
      </c>
      <c r="C6" s="6" t="n"/>
      <c r="D6" s="6" t="n"/>
      <c r="E6" s="6" t="n"/>
    </row>
    <row r="7" ht="38" customHeight="1" s="14">
      <c r="A7" s="4" t="inlineStr">
        <is>
          <t>作品與設計決策</t>
        </is>
      </c>
      <c r="B7" s="4" t="inlineStr">
        <is>
          <t>這個設計決定為什麼是這樣，而不是另一種？</t>
        </is>
      </c>
      <c r="C7" s="6" t="n"/>
      <c r="D7" s="6" t="n"/>
      <c r="E7" s="6" t="n"/>
    </row>
    <row r="8" ht="38" customHeight="1" s="14">
      <c r="A8" s="4" t="inlineStr">
        <is>
          <t>作品與設計決策</t>
        </is>
      </c>
      <c r="B8" s="4" t="inlineStr">
        <is>
          <t>這是團體作品，哪些判斷與執行真的是你負責的？</t>
        </is>
      </c>
      <c r="C8" s="6" t="n"/>
      <c r="D8" s="6" t="n"/>
      <c r="E8" s="6" t="n"/>
    </row>
    <row r="9" ht="38" customHeight="1" s="14">
      <c r="A9" s="4" t="inlineStr">
        <is>
          <t>作品與設計決策</t>
        </is>
      </c>
      <c r="B9" s="4" t="inlineStr">
        <is>
          <t>你怎麼知道這個設計有效？依據是什麼？</t>
        </is>
      </c>
      <c r="C9" s="6" t="n"/>
      <c r="D9" s="6" t="n"/>
      <c r="E9" s="6" t="n"/>
    </row>
    <row r="10" ht="38" customHeight="1" s="14">
      <c r="A10" s="4" t="inlineStr">
        <is>
          <t>作品與設計決策</t>
        </is>
      </c>
      <c r="B10" s="4" t="inlineStr">
        <is>
          <t>你當時有考慮哪些替代方案？為什麼最後沒有選？</t>
        </is>
      </c>
      <c r="C10" s="6" t="n"/>
      <c r="D10" s="6" t="n"/>
      <c r="E10" s="6" t="n"/>
    </row>
    <row r="11" ht="38" customHeight="1" s="14">
      <c r="A11" s="4" t="inlineStr">
        <is>
          <t>研究計畫</t>
        </is>
      </c>
      <c r="B11" s="4" t="inlineStr">
        <is>
          <t>你的研究問題到底是什麼？用一句話說。</t>
        </is>
      </c>
      <c r="C11" s="6" t="n"/>
      <c r="D11" s="6" t="n"/>
      <c r="E11" s="6" t="n"/>
    </row>
    <row r="12" ht="38" customHeight="1" s="14">
      <c r="A12" s="4" t="inlineStr">
        <is>
          <t>研究計畫</t>
        </is>
      </c>
      <c r="B12" s="4" t="inlineStr">
        <is>
          <t>這個題目為什麼值得研究？不做會少知道什麼？</t>
        </is>
      </c>
      <c r="C12" s="6" t="n"/>
      <c r="D12" s="6" t="n"/>
      <c r="E12" s="6" t="n"/>
    </row>
    <row r="13" ht="38" customHeight="1" s="14">
      <c r="A13" s="4" t="inlineStr">
        <is>
          <t>研究計畫</t>
        </is>
      </c>
      <c r="B13" s="4" t="inlineStr">
        <is>
          <t>這跟完成一個接案或設計作品有什麼不同？</t>
        </is>
      </c>
      <c r="C13" s="6" t="n"/>
      <c r="D13" s="6" t="n"/>
      <c r="E13" s="6" t="n"/>
    </row>
    <row r="14" ht="38" customHeight="1" s="14">
      <c r="A14" s="4" t="inlineStr">
        <is>
          <t>研究計畫</t>
        </is>
      </c>
      <c r="B14" s="4" t="inlineStr">
        <is>
          <t>這個題目兩年做得完嗎？</t>
        </is>
      </c>
      <c r="C14" s="6" t="n"/>
      <c r="D14" s="6" t="n"/>
      <c r="E14" s="6" t="n"/>
    </row>
    <row r="15" ht="38" customHeight="1" s="14">
      <c r="A15" s="4" t="inlineStr">
        <is>
          <t>研究計畫</t>
        </is>
      </c>
      <c r="B15" s="4" t="inlineStr">
        <is>
          <t>前人做過嗎？你的研究和他們差在哪裡？</t>
        </is>
      </c>
      <c r="C15" s="6" t="n"/>
      <c r="D15" s="6" t="n"/>
      <c r="E15" s="6" t="n"/>
    </row>
    <row r="16" ht="38" customHeight="1" s="14">
      <c r="A16" s="4" t="inlineStr">
        <is>
          <t>方法與證據</t>
        </is>
      </c>
      <c r="B16" s="4" t="inlineStr">
        <is>
          <t>你打算用什麼方法？為什麼是這個方法？</t>
        </is>
      </c>
      <c r="C16" s="6" t="n"/>
      <c r="D16" s="6" t="n"/>
      <c r="E16" s="6" t="n"/>
    </row>
    <row r="17" ht="38" customHeight="1" s="14">
      <c r="A17" s="4" t="inlineStr">
        <is>
          <t>方法與證據</t>
        </is>
      </c>
      <c r="B17" s="4" t="inlineStr">
        <is>
          <t>作品／prototype 在研究裡是研究結果，還是研究工具？</t>
        </is>
      </c>
      <c r="C17" s="6" t="n"/>
      <c r="D17" s="6" t="n"/>
      <c r="E17" s="6" t="n"/>
    </row>
    <row r="18" ht="38" customHeight="1" s="14">
      <c r="A18" s="4" t="inlineStr">
        <is>
          <t>方法與證據</t>
        </is>
      </c>
      <c r="B18" s="4" t="inlineStr">
        <is>
          <t>你要怎麼判斷這個方向不成立，或設計其實沒有效果？</t>
        </is>
      </c>
      <c r="C18" s="6" t="n"/>
      <c r="D18" s="6" t="n"/>
      <c r="E18" s="6" t="n"/>
    </row>
    <row r="19" ht="38" customHeight="1" s="14">
      <c r="A19" s="4" t="inlineStr">
        <is>
          <t>方法與證據</t>
        </is>
      </c>
      <c r="B19" s="4" t="inlineStr">
        <is>
          <t>如果涉及使用者／受眾，你怎麼蒐集回饋、用什麼判準分析？</t>
        </is>
      </c>
      <c r="C19" s="6" t="n"/>
      <c r="D19" s="6" t="n"/>
      <c r="E19" s="6" t="n"/>
    </row>
    <row r="20" ht="38" customHeight="1" s="14">
      <c r="A20" s="4" t="inlineStr">
        <is>
          <t>方法與證據</t>
        </is>
      </c>
      <c r="B20" s="4" t="inlineStr">
        <is>
          <t>你會怎麼記錄設計或創作過程，讓過程可以被分析？</t>
        </is>
      </c>
      <c r="C20" s="6" t="n"/>
      <c r="D20" s="6" t="n"/>
      <c r="E20" s="6" t="n"/>
    </row>
    <row r="21" ht="38" customHeight="1" s="14">
      <c r="A21" s="4" t="inlineStr">
        <is>
          <t>動機與適配</t>
        </is>
      </c>
      <c r="B21" s="4" t="inlineStr">
        <is>
          <t>為什麼是我們系，而不是其他設計、傳播或藝術相關系所？</t>
        </is>
      </c>
      <c r="C21" s="6" t="n"/>
      <c r="D21" s="6" t="n"/>
      <c r="E21" s="6" t="n"/>
    </row>
    <row r="22" ht="38" customHeight="1" s="14">
      <c r="A22" s="4" t="inlineStr">
        <is>
          <t>動機與適配</t>
        </is>
      </c>
      <c r="B22" s="4" t="inlineStr">
        <is>
          <t>你想跟哪位老師做？為什麼？</t>
        </is>
      </c>
      <c r="C22" s="6" t="n"/>
      <c r="D22" s="6" t="n"/>
      <c r="E22" s="6" t="n"/>
    </row>
    <row r="23" ht="38" customHeight="1" s="14">
      <c r="A23" s="4" t="inlineStr">
        <is>
          <t>動機與適配</t>
        </is>
      </c>
      <c r="B23" s="4" t="inlineStr">
        <is>
          <t>你畢業後想做什麼？</t>
        </is>
      </c>
      <c r="C23" s="6" t="n"/>
      <c r="D23" s="6" t="n"/>
      <c r="E23" s="6" t="n"/>
    </row>
    <row r="24" ht="38" customHeight="1" s="14">
      <c r="A24" s="4" t="inlineStr">
        <is>
          <t>動機與適配</t>
        </is>
      </c>
      <c r="B24" s="4" t="inlineStr">
        <is>
          <t>你為什麼不直接去業界？研究所能補什麼？</t>
        </is>
      </c>
      <c r="C24" s="6" t="n"/>
      <c r="D24" s="6" t="n"/>
      <c r="E24" s="6" t="n"/>
    </row>
    <row r="25" ht="42" customHeight="1" s="14">
      <c r="A25" s="9" t="inlineStr">
        <is>
          <t>準備這些問題不是背答案，而是把背後的思考真的想清楚——尤其是作品和研究方向之間的連結。</t>
        </is>
      </c>
    </row>
    <row r="26" ht="40" customHeight="1" s="14"/>
    <row r="27" ht="24" customHeight="1" s="14">
      <c r="A27" s="1" t="inlineStr">
        <is>
          <t>二、五步答題框架</t>
        </is>
      </c>
    </row>
    <row r="28" ht="26" customHeight="1" s="14">
      <c r="A28" s="3" t="inlineStr">
        <is>
          <t>步驟</t>
        </is>
      </c>
      <c r="B28" s="3" t="inlineStr">
        <is>
          <t>作用</t>
        </is>
      </c>
      <c r="C28" s="3" t="inlineStr">
        <is>
          <t>練習備註</t>
        </is>
      </c>
    </row>
    <row r="29" ht="37" customHeight="1" s="14">
      <c r="A29" s="4" t="inlineStr">
        <is>
          <t>1 確認問題</t>
        </is>
      </c>
      <c r="B29" s="4" t="inlineStr">
        <is>
          <t>確保答的是教授真正問的，也替自己爭取思考時間</t>
        </is>
      </c>
      <c r="C29" s="6" t="n"/>
    </row>
    <row r="30" ht="37" customHeight="1" s="14">
      <c r="A30" s="4" t="inlineStr">
        <is>
          <t>2 說明原始選擇</t>
        </is>
      </c>
      <c r="B30" s="4" t="inlineStr">
        <is>
          <t>說明這個設計決定當初為什麼這樣做</t>
        </is>
      </c>
      <c r="C30" s="6" t="n"/>
    </row>
    <row r="31" ht="37" customHeight="1" s="14">
      <c r="A31" s="4" t="inlineStr">
        <is>
          <t>3 解釋依據</t>
        </is>
      </c>
      <c r="B31" s="4" t="inlineStr">
        <is>
          <t>用觀察、使用者／受眾回饋、資料或參考案例支持這個選擇</t>
        </is>
      </c>
      <c r="C31" s="6" t="n"/>
    </row>
    <row r="32" ht="37" customHeight="1" s="14">
      <c r="A32" s="4" t="inlineStr">
        <is>
          <t>4 承認限制</t>
        </is>
      </c>
      <c r="B32" s="4" t="inlineStr">
        <is>
          <t>明確說出這個做法目前處理不到、不能證明或不適用的地方</t>
        </is>
      </c>
      <c r="C32" s="6" t="n"/>
    </row>
    <row r="33" ht="37" customHeight="1" s="14">
      <c r="A33" s="4" t="inlineStr">
        <is>
          <t>5 提出替代</t>
        </is>
      </c>
      <c r="B33" s="4" t="inlineStr">
        <is>
          <t>如果重做會怎麼調整，並說明替代方案的代價</t>
        </is>
      </c>
      <c r="C33" s="6" t="n"/>
    </row>
    <row r="34" ht="42" customHeight="1" s="14">
      <c r="A34" s="9" t="inlineStr">
        <is>
          <t>框架是回答的支架，不是逐字稿。遇到作品、方法或講評的追問都用同一個順序。</t>
        </is>
      </c>
    </row>
    <row r="35" ht="40" customHeight="1" s="14"/>
    <row r="36" ht="24" customHeight="1" s="14">
      <c r="A36" s="1" t="inlineStr">
        <is>
          <t>三、三件代表作：問題—決定—侷限（各三句話）</t>
        </is>
      </c>
    </row>
    <row r="37" ht="26" customHeight="1" s="14">
      <c r="A37" s="3" t="inlineStr">
        <is>
          <t>代表作</t>
        </is>
      </c>
      <c r="B37" s="3" t="inlineStr">
        <is>
          <t>問題：想解決或探索什麼</t>
        </is>
      </c>
      <c r="C37" s="3" t="inlineStr">
        <is>
          <t>決定：關鍵判斷與為什麼不是別的做法</t>
        </is>
      </c>
      <c r="D37" s="3" t="inlineStr">
        <is>
          <t>侷限：如果重做會怎麼改</t>
        </is>
      </c>
    </row>
    <row r="38" ht="32" customHeight="1" s="14">
      <c r="A38" s="4" t="inlineStr">
        <is>
          <t>作品 1</t>
        </is>
      </c>
      <c r="B38" s="6" t="n"/>
      <c r="C38" s="6" t="n"/>
      <c r="D38" s="6" t="n"/>
    </row>
    <row r="39" ht="32" customHeight="1" s="14">
      <c r="A39" s="4" t="inlineStr">
        <is>
          <t>作品 2</t>
        </is>
      </c>
      <c r="B39" s="6" t="n"/>
      <c r="C39" s="6" t="n"/>
      <c r="D39" s="6" t="n"/>
    </row>
    <row r="40" ht="32" customHeight="1" s="14">
      <c r="A40" s="4" t="inlineStr">
        <is>
          <t>作品 3</t>
        </is>
      </c>
      <c r="B40" s="6" t="n"/>
      <c r="C40" s="6" t="n"/>
      <c r="D40" s="6" t="n"/>
    </row>
    <row r="41" ht="42" customHeight="1" s="14">
      <c r="A41" s="9" t="inlineStr">
        <is>
          <t>練到能脫口而出。能回答第三欄的人，通常最讓評審放心。</t>
        </is>
      </c>
    </row>
    <row r="42" ht="40" customHeight="1" s="14"/>
    <row r="43" ht="24" customHeight="1" s="14">
      <c r="A43" s="1" t="inlineStr">
        <is>
          <t>四、一到兩分鐘開場：研究方向與作品的連結</t>
        </is>
      </c>
    </row>
    <row r="44" ht="26" customHeight="1" s="14">
      <c r="A44" s="3" t="inlineStr">
        <is>
          <t>段落</t>
        </is>
      </c>
      <c r="B44" s="3" t="inlineStr">
        <is>
          <t>要講什麼</t>
        </is>
      </c>
      <c r="C44" s="3" t="inlineStr">
        <is>
          <t>我的內容</t>
        </is>
      </c>
    </row>
    <row r="45" ht="32" customHeight="1" s="14">
      <c r="A45" s="4" t="inlineStr">
        <is>
          <t>我關心的問題</t>
        </is>
      </c>
      <c r="B45" s="4" t="inlineStr">
        <is>
          <t>一句話，具體到不能再具體</t>
        </is>
      </c>
      <c r="C45" s="6" t="n"/>
    </row>
    <row r="46" ht="32" customHeight="1" s="14">
      <c r="A46" s="4" t="inlineStr">
        <is>
          <t>代表作品怎麼回應它</t>
        </is>
      </c>
      <c r="B46" s="4" t="inlineStr">
        <is>
          <t>一到兩件，各一句</t>
        </is>
      </c>
      <c r="C46" s="6" t="n"/>
    </row>
    <row r="47" ht="32" customHeight="1" s="14">
      <c r="A47" s="4" t="inlineStr">
        <is>
          <t>研究方向要往哪裡深化</t>
        </is>
      </c>
      <c r="B47" s="4" t="inlineStr">
        <is>
          <t>作品經驗自然接到研究計畫，不是最後才硬轉</t>
        </is>
      </c>
      <c r="C47" s="6" t="n"/>
    </row>
    <row r="48" ht="42" customHeight="1" s="14">
      <c r="A48" s="9" t="inlineStr">
        <is>
          <t>被打斷後要接得回作品與研究主線。計時練到不用看稿。</t>
        </is>
      </c>
    </row>
    <row r="49" ht="40" customHeight="1" s="14"/>
    <row r="50" ht="24" customHeight="1" s="14">
      <c r="A50" s="1" t="inlineStr">
        <is>
          <t>五、面對講評：三步節奏</t>
        </is>
      </c>
    </row>
    <row r="51" ht="26" customHeight="1" s="14">
      <c r="A51" s="3" t="inlineStr">
        <is>
          <t>步驟</t>
        </is>
      </c>
      <c r="B51" s="3" t="inlineStr">
        <is>
          <t>句型</t>
        </is>
      </c>
      <c r="C51" s="3" t="inlineStr">
        <is>
          <t>我的版本（拿一個你自己知道的弱點來寫）</t>
        </is>
      </c>
    </row>
    <row r="52" ht="32" customHeight="1" s="14">
      <c r="A52" s="4" t="inlineStr">
        <is>
          <t>1 確認理解對方的意見</t>
        </is>
      </c>
      <c r="B52" s="4" t="inlineStr">
        <is>
          <t>「您是指……這個部分嗎？」</t>
        </is>
      </c>
      <c r="C52" s="6" t="n"/>
    </row>
    <row r="53" ht="32" customHeight="1" s="14">
      <c r="A53" s="4" t="inlineStr">
        <is>
          <t>2 承認有道理的部分</t>
        </is>
      </c>
      <c r="B53" s="4" t="inlineStr">
        <is>
          <t>「這個點我在做的時候也掙扎過……」</t>
        </is>
      </c>
      <c r="C53" s="6" t="n"/>
    </row>
    <row r="54" ht="48" customHeight="1" s="14">
      <c r="A54" s="4" t="inlineStr">
        <is>
          <t>3 說明取捨，或坦承沒想到、會怎麼處理</t>
        </is>
      </c>
      <c r="B54" s="4" t="inlineStr">
        <is>
          <t>「我當時選這個做法是因為……；如果要處理您提到的面向，我會……」</t>
        </is>
      </c>
      <c r="C54" s="6" t="n"/>
    </row>
    <row r="55" ht="42" customHeight="1" s="14">
      <c r="A55" s="9" t="inlineStr">
        <is>
          <t>從備審選件時你自己知道的弱點開始想。那些問題教授本來就看得出來。</t>
        </is>
      </c>
    </row>
    <row r="56" ht="40" customHeight="1" s="14"/>
    <row r="57" ht="42" customHeight="1" s="14">
      <c r="A57" s="9" t="inlineStr">
        <is>
          <t>填完切到「檢核表」分頁。</t>
        </is>
      </c>
    </row>
    <row r="58" ht="14" customHeight="1" s="14"/>
    <row r="59" ht="28" customHeight="1" s="14">
      <c r="A59" s="5" t="inlineStr">
        <is>
          <t># 搭配文章：設計研究所口試與作品集講評怎麼準備　https://tbd-edu.com/pages/resources/design-graduate-oral.html</t>
        </is>
      </c>
    </row>
    <row r="60" ht="28" customHeight="1" s="14">
      <c r="A60" s="5" t="inlineStr">
        <is>
          <t># TBD Studio ｜ https://tbd-edu.com/</t>
        </is>
      </c>
    </row>
  </sheetData>
  <mergeCells count="7">
    <mergeCell ref="A55:E55"/>
    <mergeCell ref="A34:E34"/>
    <mergeCell ref="A48:E48"/>
    <mergeCell ref="A57:E57"/>
    <mergeCell ref="A2:E2"/>
    <mergeCell ref="A25:E25"/>
    <mergeCell ref="A41:E41"/>
  </mergeCells>
  <dataValidations count="1">
    <dataValidation sqref="D6:E24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zoomScale="75" workbookViewId="0">
      <pane ySplit="2" topLeftCell="A40" activePane="bottomLeft" state="frozen"/>
      <selection pane="bottomLeft" activeCell="A32" sqref="A32:XFD39"/>
    </sheetView>
  </sheetViews>
  <sheetFormatPr baseColWidth="10" defaultColWidth="9" defaultRowHeight="14"/>
  <cols>
    <col width="91.796875" customWidth="1" style="14" min="1" max="1"/>
    <col width="17.3984375" customWidth="1" style="14" min="2" max="2"/>
    <col width="75" customWidth="1" style="14" min="3" max="3"/>
    <col width="12" customWidth="1" style="14" min="4" max="6"/>
  </cols>
  <sheetData>
    <row r="1" ht="30" customHeight="1" s="14">
      <c r="A1" s="2" t="inlineStr">
        <is>
          <t>設計傳播｜口試自我檢核表：作品講評　v1</t>
        </is>
      </c>
    </row>
    <row r="2" ht="28" customHeight="1" s="14">
      <c r="A2" s="18" t="inlineStr">
        <is>
          <t>5 區共 30 項。當場講得出來才打 ✓，「應該會吧」留白。判準見「先讀這裡」分頁。淡黃色的儲存格是要你填或勾的，其餘是給你讀的。</t>
        </is>
      </c>
    </row>
    <row r="3" ht="40" customHeight="1" s="14"/>
    <row r="4" ht="24" customHeight="1" s="14">
      <c r="A4" s="1" t="inlineStr">
        <is>
          <t>第 1 區　開場與研究主張（5 項）</t>
        </is>
      </c>
    </row>
    <row r="5" ht="26" customHeight="1" s="14">
      <c r="A5" s="3" t="inlineStr">
        <is>
          <t>檢核項目</t>
        </is>
      </c>
      <c r="B5" s="3" t="inlineStr">
        <is>
          <t>確認</t>
        </is>
      </c>
      <c r="C5" s="3" t="inlineStr">
        <is>
          <t>沒打勾的話，下一步</t>
        </is>
      </c>
    </row>
    <row r="6" ht="47" customHeight="1" s="14">
      <c r="A6" s="4" t="inlineStr">
        <is>
          <t>我能在三分鐘內說清楚自己關心的問題、代表作品與研究方向</t>
        </is>
      </c>
      <c r="B6" s="6" t="n"/>
      <c r="C6" s="4" t="inlineStr">
        <is>
          <t>回題庫與素材第四節，先寫要點再計時講。</t>
        </is>
      </c>
    </row>
    <row r="7" ht="47" customHeight="1" s="14">
      <c r="A7" s="4" t="inlineStr">
        <is>
          <t>我能用一句話說明每件代表作在解什麼問題，而不是只介紹製作流程</t>
        </is>
      </c>
      <c r="B7" s="6" t="n"/>
      <c r="C7" s="4" t="inlineStr">
        <is>
          <t>回題庫與素材第三節第二欄。</t>
        </is>
      </c>
    </row>
    <row r="8" ht="47" customHeight="1" s="14">
      <c r="A8" s="4" t="inlineStr">
        <is>
          <t>我能說清楚作品中的關鍵設計判斷，以及為什麼不是另一種做法</t>
        </is>
      </c>
      <c r="B8" s="6" t="n"/>
      <c r="C8" s="4" t="inlineStr">
        <is>
          <t>回題庫與素材第三節第三欄。</t>
        </is>
      </c>
    </row>
    <row r="9" ht="47" customHeight="1" s="14">
      <c r="A9" s="4" t="inlineStr">
        <is>
          <t>我能自然把作品經驗連到研究計畫，而不是最後才硬轉到研究題目</t>
        </is>
      </c>
      <c r="B9" s="6" t="n"/>
      <c r="C9" s="4" t="inlineStr">
        <is>
          <t>回題庫與素材第四節第三列。</t>
        </is>
      </c>
    </row>
    <row r="10" ht="47" customHeight="1" s="14">
      <c r="A10" s="4" t="inlineStr">
        <is>
          <t>簡報被打斷後，我仍能接回作品與研究主線</t>
        </is>
      </c>
      <c r="B10" s="6" t="n"/>
      <c r="C10" s="4" t="inlineStr">
        <is>
          <t>找人打斷你，練到接得回來。</t>
        </is>
      </c>
    </row>
    <row r="11" ht="42" customHeight="1" s="14">
      <c r="A11" s="9" t="inlineStr">
        <is>
          <t>講判斷，不只講流程。比起「我做了什麼」，更重要的是「我為什麼這樣做、還有什麼限制」。</t>
        </is>
      </c>
    </row>
    <row r="12" ht="40" customHeight="1" s="14"/>
    <row r="13" ht="24" customHeight="1" s="14">
      <c r="A13" s="1" t="inlineStr">
        <is>
          <t>第 2 區　面對作品講評（6 項）</t>
        </is>
      </c>
    </row>
    <row r="14" ht="26" customHeight="1" s="14">
      <c r="A14" s="3" t="inlineStr">
        <is>
          <t>檢核項目</t>
        </is>
      </c>
      <c r="B14" s="3" t="inlineStr">
        <is>
          <t>確認</t>
        </is>
      </c>
      <c r="C14" s="3" t="inlineStr">
        <is>
          <t>沒打勾的話，下一步</t>
        </is>
      </c>
    </row>
    <row r="15" ht="53" customHeight="1" s="14">
      <c r="A15" s="4" t="inlineStr">
        <is>
          <t>被指出作品沒有解決問題時，我能先確認對方指的是哪一點，再說明原始取捨與限制</t>
        </is>
      </c>
      <c r="B15" s="6" t="n"/>
      <c r="C15" s="4" t="inlineStr">
        <is>
          <t>回題庫與素材第五節第一、三步。</t>
        </is>
      </c>
    </row>
    <row r="16" ht="53" customHeight="1" s="14">
      <c r="A16" s="4" t="inlineStr">
        <is>
          <t>被指出沒想到的面向時，我能承認這個缺口並說明會怎麼補</t>
        </is>
      </c>
      <c r="B16" s="6" t="n"/>
      <c r="C16" s="4" t="inlineStr">
        <is>
          <t>回題庫與素材第五節第三步。</t>
        </is>
      </c>
    </row>
    <row r="17" ht="53" customHeight="1" s="14">
      <c r="A17" s="4" t="inlineStr">
        <is>
          <t>不同意教授的批評時，我能提出判斷依據，同時承認原本方案只是其中一種選擇</t>
        </is>
      </c>
      <c r="B17" s="6" t="n"/>
      <c r="C17" s="4" t="inlineStr">
        <is>
          <t>設計有效要有依據：觀察、回饋、資料、案例。</t>
        </is>
      </c>
    </row>
    <row r="18" ht="53" customHeight="1" s="14">
      <c r="A18" s="4" t="inlineStr">
        <is>
          <t>被問到完全不會的問題時，我能誠實說明目前邊界，並提出查找答案的方式</t>
        </is>
      </c>
      <c r="B18" s="6" t="n"/>
      <c r="C18" s="4" t="inlineStr">
        <is>
          <t>不硬拗。說目前的理解到哪、會怎麼補。</t>
        </is>
      </c>
    </row>
    <row r="19" ht="53" customHeight="1" s="14">
      <c r="A19" s="4" t="inlineStr">
        <is>
          <t>我不會把所有問題都歸因於「時間不夠」，而能說明真正的設計限制或取捨</t>
        </is>
      </c>
      <c r="B19" s="6" t="n"/>
      <c r="C19" s="4" t="inlineStr">
        <is>
          <t>回題庫與素材第三節第四欄。</t>
        </is>
      </c>
    </row>
    <row r="20" ht="53" customHeight="1" s="14">
      <c r="A20" s="4" t="inlineStr">
        <is>
          <t>我已練習至少三種「承認合理質疑，同時說明原始判斷」的回應方式</t>
        </is>
      </c>
      <c r="B20" s="6" t="n"/>
      <c r="C20" s="4" t="inlineStr">
        <is>
          <t>回題庫與素材第五節，用三個不同的弱點各寫一次。</t>
        </is>
      </c>
    </row>
    <row r="21" ht="42" customHeight="1" s="14">
      <c r="A21" s="9" t="inlineStr">
        <is>
          <t>被批評時保留判斷。不要立刻防衛，也不要全部棄守。</t>
        </is>
      </c>
    </row>
    <row r="22" ht="40" customHeight="1" s="14"/>
    <row r="23" ht="24" customHeight="1" s="14">
      <c r="A23" s="1" t="inlineStr">
        <is>
          <t>第 3 區　設計有效性與研究證據（4 項）</t>
        </is>
      </c>
    </row>
    <row r="24" ht="26" customHeight="1" s="14">
      <c r="A24" s="3" t="inlineStr">
        <is>
          <t>檢核項目</t>
        </is>
      </c>
      <c r="B24" s="3" t="inlineStr">
        <is>
          <t>確認</t>
        </is>
      </c>
      <c r="C24" s="3" t="inlineStr">
        <is>
          <t>沒打勾的話，下一步</t>
        </is>
      </c>
    </row>
    <row r="25" ht="56" customHeight="1" s="14">
      <c r="A25" s="4" t="inlineStr">
        <is>
          <t>每件代表作都說得出「我根據什麼判斷它有效／無效」</t>
        </is>
      </c>
      <c r="B25" s="6" t="n"/>
      <c r="C25" s="4" t="inlineStr">
        <is>
          <t>回題庫作品與設計決策第四題。</t>
        </is>
      </c>
    </row>
    <row r="26" ht="56" customHeight="1" s="14">
      <c r="A26" s="4" t="inlineStr">
        <is>
          <t>若研究涉及使用者／受眾，我已想過招募、資料蒐集與回饋分析方式</t>
        </is>
      </c>
      <c r="B26" s="6" t="n"/>
      <c r="C26" s="4" t="inlineStr">
        <is>
          <t>回題庫方法與證據第四題。</t>
        </is>
      </c>
    </row>
    <row r="27" ht="56" customHeight="1" s="14">
      <c r="A27" s="4" t="inlineStr">
        <is>
          <t>若以設計實作作為研究方法，我能說明作品如何產生可討論的研究知識</t>
        </is>
      </c>
      <c r="B27" s="6" t="n"/>
      <c r="C27" s="4" t="inlineStr">
        <is>
          <t>回題庫方法與證據第二題：作品是結果還是工具。</t>
        </is>
      </c>
    </row>
    <row r="28" ht="56" customHeight="1" s="14">
      <c r="A28" s="4" t="inlineStr">
        <is>
          <t>我能區分「我喜歡這個方案」與「有證據支持這個方案」</t>
        </is>
      </c>
      <c r="B28" s="6" t="n"/>
      <c r="C28" s="4" t="inlineStr">
        <is>
          <t>個人喜好不等於證據。</t>
        </is>
      </c>
    </row>
    <row r="29" ht="42" customHeight="1" s="14">
      <c r="A29" s="9" t="inlineStr">
        <is>
          <t>講證據，不只講喜好。委員想知道的是你怎麼判斷一個設計有沒有用。</t>
        </is>
      </c>
    </row>
    <row r="30" ht="40" customHeight="1" s="14"/>
    <row r="31" ht="24" customHeight="1" s="14">
      <c r="A31" s="1" t="inlineStr">
        <is>
          <t>第 4 區　上場前檢核（8 項　沒滿就還不能上場）</t>
        </is>
      </c>
    </row>
    <row r="32" ht="26" customHeight="1" s="14">
      <c r="A32" s="3" t="inlineStr">
        <is>
          <t>檢核項目</t>
        </is>
      </c>
      <c r="B32" s="3" t="inlineStr">
        <is>
          <t>確認</t>
        </is>
      </c>
      <c r="C32" s="3" t="inlineStr">
        <is>
          <t>沒打勾的話，下一步</t>
        </is>
      </c>
    </row>
    <row r="33" ht="52" customHeight="1" s="14">
      <c r="A33" s="4" t="inlineStr">
        <is>
          <t>作品集已重看一遍，說得出每件作品的年份、脈絡與自己的實際角色</t>
        </is>
      </c>
      <c r="B33" s="6" t="n"/>
      <c r="C33" s="4" t="inlineStr">
        <is>
          <t>教授可能當場翻到任何一件。</t>
        </is>
      </c>
    </row>
    <row r="34" ht="52" customHeight="1" s="14">
      <c r="A34" s="4" t="inlineStr">
        <is>
          <t>研究計畫的問題、動機、方法與預期成果都能不用逐字稿說明</t>
        </is>
      </c>
      <c r="B34" s="6" t="n"/>
      <c r="C34" s="4" t="inlineStr">
        <is>
          <t>回題庫研究計畫五題。</t>
        </is>
      </c>
    </row>
    <row r="35" ht="52" customHeight="1" s="14">
      <c r="A35" s="4" t="inlineStr">
        <is>
          <t>四類追問都至少被別人連續追問過一輪</t>
        </is>
      </c>
      <c r="B35" s="6" t="n"/>
      <c r="C35" s="4" t="inlineStr">
        <is>
          <t>找會挑戰你的同領域夥伴。一定要被打斷過。</t>
        </is>
      </c>
    </row>
    <row r="36" ht="52" customHeight="1" s="14">
      <c r="A36" s="4" t="inlineStr">
        <is>
          <t>我查過可能的口試委員與研究方向，能預判幾種提問角度</t>
        </is>
      </c>
      <c r="B36" s="6" t="n"/>
      <c r="C36" s="4" t="inlineStr">
        <is>
          <t>不只指導教授。</t>
        </is>
      </c>
    </row>
    <row r="37" ht="52" customHeight="1" s="14">
      <c r="A37" s="4" t="inlineStr">
        <is>
          <t>我準備了 2-3 個要問系所的問題，而且不是官網查得到的資訊</t>
        </is>
      </c>
      <c r="B37" s="6" t="n"/>
      <c r="C37" s="4" t="inlineStr">
        <is>
          <t>問設備、指導方式、展覽或跨域資源。</t>
        </is>
      </c>
    </row>
    <row r="38" ht="52" customHeight="1" s="14">
      <c r="A38" s="4" t="inlineStr">
        <is>
          <t>需要帶實體作品時，尺寸、運送與現場展示方式都已確認</t>
        </is>
      </c>
      <c r="B38" s="6" t="n"/>
      <c r="C38" s="4" t="inlineStr">
        <is>
          <t>先查口試形式，再決定帶不帶。</t>
        </is>
      </c>
    </row>
    <row r="39" ht="52" customHeight="1" s="14">
      <c r="A39" s="4" t="inlineStr">
        <is>
          <t>線上口試的網路、鏡頭、麥克風、螢幕分享與作品檔案都測試完成</t>
        </is>
      </c>
      <c r="B39" s="6" t="n"/>
      <c r="C39" s="4" t="inlineStr">
        <is>
          <t>作品檔案先開好，不要現場找。</t>
        </is>
      </c>
    </row>
    <row r="40" ht="52" customHeight="1" s="14">
      <c r="A40" s="4" t="inlineStr">
        <is>
          <t>會場位置、報到時間與交通緩衝都已確認</t>
        </is>
      </c>
      <c r="B40" s="6" t="n"/>
      <c r="C40" s="4" t="inlineStr">
        <is>
          <t>口試前一天不要再趕作品。</t>
        </is>
      </c>
    </row>
    <row r="41" ht="42" customHeight="1" s="14">
      <c r="A41" s="9" t="inlineStr">
        <is>
          <t>這八項是最後那道閘門。它們不是新工作，是把前面的準備再問一次。</t>
        </is>
      </c>
    </row>
    <row r="42" ht="40" customHeight="1" s="14"/>
    <row r="43" ht="24" customHeight="1" s="14">
      <c r="A43" s="1" t="inlineStr">
        <is>
          <t>第 5 區　常見失分點（7 項　✓ 代表我不會這樣答）</t>
        </is>
      </c>
    </row>
    <row r="44" ht="26" customHeight="1" s="14">
      <c r="A44" s="3" t="inlineStr">
        <is>
          <t>檢核項目</t>
        </is>
      </c>
      <c r="B44" s="3" t="inlineStr">
        <is>
          <t>確認</t>
        </is>
      </c>
      <c r="C44" s="3" t="inlineStr">
        <is>
          <t>沒打勾的話，下一步</t>
        </is>
      </c>
    </row>
    <row r="45" ht="48" customHeight="1" s="14">
      <c r="A45" s="4" t="inlineStr">
        <is>
          <t>只介紹作品內容與製作流程，沒有說明作品與研究問題的關係</t>
        </is>
      </c>
      <c r="B45" s="6" t="n"/>
      <c r="C45" s="4" t="inlineStr">
        <is>
          <t>回題庫與素材第三節第二欄與第四節。</t>
        </is>
      </c>
    </row>
    <row r="46" ht="32" customHeight="1" s="14">
      <c r="A46" s="4" t="inlineStr">
        <is>
          <t>研究問題講成一個題材或領域，不是一個可回答的問題</t>
        </is>
      </c>
      <c r="B46" s="6" t="n"/>
      <c r="C46" s="4" t="inlineStr">
        <is>
          <t>回題庫研究計畫第一題，把題材改寫成問句。</t>
        </is>
      </c>
    </row>
    <row r="47" ht="32" customHeight="1" s="14">
      <c r="A47" s="4" t="inlineStr">
        <is>
          <t>說要探討使用者經驗，但方法裡沒有任何使用者／受眾資料</t>
        </is>
      </c>
      <c r="B47" s="6" t="n"/>
      <c r="C47" s="4" t="inlineStr">
        <is>
          <t>回題庫方法與證據第四題。</t>
        </is>
      </c>
    </row>
    <row r="48" ht="48" customHeight="1" s="14">
      <c r="A48" s="4" t="inlineStr">
        <is>
          <t>答不出目標系所偏學術型、實務型或兩者並重，也說不清自己走哪一條</t>
        </is>
      </c>
      <c r="B48" s="6" t="n"/>
      <c r="C48" s="4" t="inlineStr">
        <is>
          <t>回題庫動機與適配第一題。</t>
        </is>
      </c>
    </row>
    <row r="49" ht="48" customHeight="1" s="14">
      <c r="A49" s="4" t="inlineStr">
        <is>
          <t>被問到「什麼情況算失敗」時答不出來，表示目前只有執行方案，沒有研究判準</t>
        </is>
      </c>
      <c r="B49" s="6" t="n"/>
      <c r="C49" s="4" t="inlineStr">
        <is>
          <t>回題庫方法與證據第三題。</t>
        </is>
      </c>
    </row>
    <row r="50" ht="48" customHeight="1" s="14">
      <c r="A50" s="4" t="inlineStr">
        <is>
          <t>研究計畫談的方向在作品集中完全看不到經驗或問題意識的伏筆</t>
        </is>
      </c>
      <c r="B50" s="6" t="n"/>
      <c r="C50" s="4" t="inlineStr">
        <is>
          <t>回題庫與素材第四節。找不到伏筆代表方向要調整。</t>
        </is>
      </c>
    </row>
    <row r="51" ht="48" customHeight="1" s="14">
      <c r="A51" s="4" t="inlineStr">
        <is>
          <t>設計判斷只用個人喜好解釋，沒有觀察、資料、回饋或案例依據</t>
        </is>
      </c>
      <c r="B51" s="6" t="n"/>
      <c r="C51" s="4" t="inlineStr">
        <is>
          <t>回題庫與素材第三節第三欄。</t>
        </is>
      </c>
    </row>
    <row r="52" ht="40" customHeight="1" s="14"/>
    <row r="53" ht="42" customHeight="1" s="14">
      <c r="A53" s="9" t="inlineStr">
        <is>
          <t>打完切到「我到哪了」分頁看結果。</t>
        </is>
      </c>
    </row>
    <row r="54" ht="14" customHeight="1" s="14"/>
    <row r="55" ht="28" customHeight="1" s="14">
      <c r="A55" s="5" t="inlineStr">
        <is>
          <t># 搭配文章：設計研究所口試與作品集講評怎麼準備　https://tbd-edu.com/pages/resources/design-graduate-oral.html</t>
        </is>
      </c>
    </row>
    <row r="56" ht="28" customHeight="1" s="14">
      <c r="A56" s="5" t="inlineStr">
        <is>
          <t># TBD Studio ｜ https://tbd-edu.com/</t>
        </is>
      </c>
    </row>
  </sheetData>
  <mergeCells count="6">
    <mergeCell ref="A41:C41"/>
    <mergeCell ref="A11:C11"/>
    <mergeCell ref="A21:C21"/>
    <mergeCell ref="A53:C53"/>
    <mergeCell ref="A29:C29"/>
    <mergeCell ref="A2:C2"/>
  </mergeCells>
  <dataValidations count="1">
    <dataValidation sqref="B6:B10 B15:B20 B25:B28 B33:B40 B45:B51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75" workbookViewId="0">
      <pane ySplit="2" topLeftCell="A3" activePane="bottomLeft" state="frozen"/>
      <selection pane="bottomLeft" activeCell="A20" activeCellId="1" sqref="A14:XFD14 A20:XFD20"/>
    </sheetView>
  </sheetViews>
  <sheetFormatPr baseColWidth="10" defaultColWidth="9" defaultRowHeight="14"/>
  <cols>
    <col width="43.59765625" customWidth="1" style="14" min="1" max="1"/>
    <col width="20.3984375" customWidth="1" style="14" min="2" max="2"/>
    <col width="58.3984375" customWidth="1" style="14" min="3" max="3"/>
    <col width="82.796875" customWidth="1" style="14" min="4" max="4"/>
    <col width="12" customWidth="1" style="14" min="5" max="6"/>
  </cols>
  <sheetData>
    <row r="1" ht="30" customHeight="1" s="14">
      <c r="A1" s="2" t="inlineStr">
        <is>
          <t>設計傳播｜口試自我檢核表：作品講評　v1</t>
        </is>
      </c>
    </row>
    <row r="2" ht="28" customHeight="1" s="14">
      <c r="A2" s="18" t="inlineStr">
        <is>
          <t>數字會跟著前面的分頁自動變。留白的項目就是你接下來的工作清單。</t>
        </is>
      </c>
    </row>
    <row r="3" ht="40" customHeight="1" s="14"/>
    <row r="4" ht="24" customHeight="1" s="14">
      <c r="A4" s="1" t="inlineStr">
        <is>
          <t>7 區完成度</t>
        </is>
      </c>
    </row>
    <row r="5" ht="26" customHeight="1" s="14">
      <c r="A5" s="3" t="inlineStr">
        <is>
          <t>區塊</t>
        </is>
      </c>
      <c r="B5" s="3" t="inlineStr">
        <is>
          <t>已確認</t>
        </is>
      </c>
      <c r="C5" s="3" t="inlineStr">
        <is>
          <t>完成的比例（滿格代表這一區做完）</t>
        </is>
      </c>
      <c r="D5" s="3" t="inlineStr">
        <is>
          <t>這一區在檢查什麼</t>
        </is>
      </c>
    </row>
    <row r="6" ht="32" customHeight="1" s="14">
      <c r="A6" s="4" t="inlineStr">
        <is>
          <t>題庫：寫出答案</t>
        </is>
      </c>
      <c r="B6" s="4">
        <f>COUNTIF(題庫與素材!D6:D24,"✓")&amp;" / 19"</f>
        <v/>
      </c>
      <c r="C6" s="4">
        <f>IF(COUNTIF(題庫與素材!D6:D24,"✓")=0,"尚未開始",REPT("█",ROUND(COUNTIF(題庫與素材!D6:D24,"✓")/19*16,0)))</f>
        <v/>
      </c>
      <c r="D6" s="4" t="inlineStr">
        <is>
          <t>四類追問十九題，寫得出答案要點了沒。</t>
        </is>
      </c>
    </row>
    <row r="7" ht="32" customHeight="1" s="14">
      <c r="A7" s="4" t="inlineStr">
        <is>
          <t>題庫：練過口說</t>
        </is>
      </c>
      <c r="B7" s="4">
        <f>COUNTIF(題庫與素材!E6:E24,"✓")&amp;" / 19"</f>
        <v/>
      </c>
      <c r="C7" s="4">
        <f>IF(COUNTIF(題庫與素材!E6:E24,"✓")=0,"尚未開始",REPT("█",ROUND(COUNTIF(題庫與素材!E6:E24,"✓")/19*16,0)))</f>
        <v/>
      </c>
      <c r="D7" s="4" t="inlineStr">
        <is>
          <t>同樣十九題，被當場追問時講得出來了沒。</t>
        </is>
      </c>
    </row>
    <row r="8" ht="32" customHeight="1" s="14">
      <c r="A8" s="4" t="inlineStr">
        <is>
          <t>開場與研究主張</t>
        </is>
      </c>
      <c r="B8" s="4">
        <f>COUNTIF(檢核表!B6:B10,"✓")&amp;" / 5"</f>
        <v/>
      </c>
      <c r="C8" s="4">
        <f>IF(COUNTIF(檢核表!B6:B10,"✓")=0,"尚未開始",REPT("█",ROUND(COUNTIF(檢核表!B6:B10,"✓")/5*16,0)))</f>
        <v/>
      </c>
      <c r="D8" s="4" t="inlineStr">
        <is>
          <t>三分鐘說得清作品與研究方向、每件作品的設計判斷。</t>
        </is>
      </c>
    </row>
    <row r="9" ht="32" customHeight="1" s="14">
      <c r="A9" s="4" t="inlineStr">
        <is>
          <t>面對作品講評</t>
        </is>
      </c>
      <c r="B9" s="4">
        <f>COUNTIF(檢核表!B15:B20,"✓")&amp;" / 6"</f>
        <v/>
      </c>
      <c r="C9" s="4">
        <f>IF(COUNTIF(檢核表!B15:B20,"✓")=0,"尚未開始",REPT("█",ROUND(COUNTIF(檢核表!B15:B20,"✓")/6*16,0)))</f>
        <v/>
      </c>
      <c r="D9" s="4" t="inlineStr">
        <is>
          <t>被質疑時的三步節奏練過了沒。</t>
        </is>
      </c>
    </row>
    <row r="10" ht="32" customHeight="1" s="14">
      <c r="A10" s="4" t="inlineStr">
        <is>
          <t>設計有效性與研究證據</t>
        </is>
      </c>
      <c r="B10" s="4">
        <f>COUNTIF(檢核表!B25:B28,"✓")&amp;" / 4"</f>
        <v/>
      </c>
      <c r="C10" s="4">
        <f>IF(COUNTIF(檢核表!B25:B28,"✓")=0,"尚未開始",REPT("█",ROUND(COUNTIF(檢核表!B25:B28,"✓")/4*16,0)))</f>
        <v/>
      </c>
      <c r="D10" s="4" t="inlineStr">
        <is>
          <t>分得清「我喜歡」和「有證據」。</t>
        </is>
      </c>
    </row>
    <row r="11" ht="32" customHeight="1" s="14">
      <c r="A11" s="4" t="inlineStr">
        <is>
          <t>上場前檢核</t>
        </is>
      </c>
      <c r="B11" s="4">
        <f>COUNTIF(檢核表!B33:B40,"✓")&amp;" / 8"</f>
        <v/>
      </c>
      <c r="C11" s="4">
        <f>IF(COUNTIF(檢核表!B33:B40,"✓")=0,"尚未開始",REPT("█",ROUND(COUNTIF(檢核表!B33:B40,"✓")/8*16,0)))</f>
        <v/>
      </c>
      <c r="D11" s="4" t="inlineStr">
        <is>
          <t>最後那道閘門。這八項沒到就還不能上場。</t>
        </is>
      </c>
    </row>
    <row r="12" ht="32" customHeight="1" s="14">
      <c r="A12" s="4" t="inlineStr">
        <is>
          <t>常見失分點</t>
        </is>
      </c>
      <c r="B12" s="4">
        <f>COUNTIF(檢核表!B45:B51,"✓")&amp;" / 7"</f>
        <v/>
      </c>
      <c r="C12" s="4">
        <f>IF(COUNTIF(檢核表!B45:B51,"✓")=0,"尚未開始",REPT("█",ROUND(COUNTIF(檢核表!B45:B51,"✓")/7*16,0)))</f>
        <v/>
      </c>
      <c r="D12" s="4" t="inlineStr">
        <is>
          <t>有沒有踩到最常見的七個失分回答。</t>
        </is>
      </c>
    </row>
    <row r="13" ht="32" customHeight="1" s="14">
      <c r="A13" s="4" t="inlineStr">
        <is>
          <t>合計</t>
        </is>
      </c>
      <c r="B13" s="4">
        <f>(COUNTIF(題庫與素材!D6:D24,"✓")+COUNTIF(題庫與素材!E6:E24,"✓")+COUNTIF(檢核表!B6:B10,"✓")+COUNTIF(檢核表!B15:B20,"✓")+COUNTIF(檢核表!B25:B28,"✓")+COUNTIF(檢核表!B33:B40,"✓")+COUNTIF(檢核表!B45:B51,"✓"))&amp;" / 68"</f>
        <v/>
      </c>
      <c r="C13" s="4">
        <f>IF((COUNTIF(題庫與素材!D6:D24,"✓")+COUNTIF(題庫與素材!E6:E24,"✓")+COUNTIF(檢核表!B6:B10,"✓")+COUNTIF(檢核表!B15:B20,"✓")+COUNTIF(檢核表!B25:B28,"✓")+COUNTIF(檢核表!B33:B40,"✓")+COUNTIF(檢核表!B45:B51,"✓"))=0,"尚未開始",REPT("█",ROUND((COUNTIF(題庫與素材!D6:D24,"✓")+COUNTIF(題庫與素材!E6:E24,"✓")+COUNTIF(檢核表!B6:B10,"✓")+COUNTIF(檢核表!B15:B20,"✓")+COUNTIF(檢核表!B25:B28,"✓")+COUNTIF(檢核表!B33:B40,"✓")+COUNTIF(檢核表!B45:B51,"✓"))/68*16,0)))</f>
        <v/>
      </c>
      <c r="D13" s="4" t="inlineStr">
        <is>
          <t>完成率見下方。</t>
        </is>
      </c>
    </row>
    <row r="14" ht="42" customHeight="1" s="14">
      <c r="A14" s="9" t="inlineStr">
        <is>
          <t>8 條長條都換算成同一個滿格刻度，所以可以直接互相比。最短的那一區就是你目前最弱的地方。</t>
        </is>
      </c>
    </row>
    <row r="15" ht="40" customHeight="1" s="14"/>
    <row r="16" ht="24" customHeight="1" s="14">
      <c r="A16" s="1" t="inlineStr">
        <is>
          <t>還有什麼可以做</t>
        </is>
      </c>
    </row>
    <row r="17" ht="26" customHeight="1" s="14">
      <c r="A17" s="3" t="inlineStr">
        <is>
          <t>完成率</t>
        </is>
      </c>
      <c r="B17" s="3" t="inlineStr">
        <is>
          <t>還沒打勾</t>
        </is>
      </c>
      <c r="C17" s="3" t="inlineStr">
        <is>
          <t>怎麼用這兩個數字</t>
        </is>
      </c>
    </row>
    <row r="18" ht="70" customHeight="1" s="14">
      <c r="A18" s="7">
        <f>(COUNTIF(題庫與素材!D6:D24,"✓")+COUNTIF(題庫與素材!E6:E24,"✓")+COUNTIF(檢核表!B6:B10,"✓")+COUNTIF(檢核表!B15:B20,"✓")+COUNTIF(檢核表!B25:B28,"✓")+COUNTIF(檢核表!B33:B40,"✓")+COUNTIF(檢核表!B45:B51,"✓"))/68</f>
        <v/>
      </c>
      <c r="B18" s="4">
        <f>68-(COUNTIF(題庫與素材!D6:D24,"✓")+COUNTIF(題庫與素材!E6:E24,"✓")+COUNTIF(檢核表!B6:B10,"✓")+COUNTIF(檢核表!B15:B20,"✓")+COUNTIF(檢核表!B25:B28,"✓")+COUNTIF(檢核表!B33:B40,"✓")+COUNTIF(檢核表!B45:B51,"✓"))</f>
        <v/>
      </c>
      <c r="C18" s="4" t="inlineStr">
        <is>
          <t>「還沒打勾」就是你的工作清單長度。回「檢核表」看那幾列的「下一步」欄，一項對應一件要做的事。</t>
        </is>
      </c>
    </row>
    <row r="19" ht="42" customHeight="1" s="14">
      <c r="A19" s="9" t="inlineStr">
        <is>
          <t>不用追求一次補完。每次回來處理三到五項，隔幾天再打一次，你會看得到自己的進度。</t>
        </is>
      </c>
    </row>
    <row r="20" ht="14" customHeight="1" s="14"/>
    <row r="21" ht="28" customHeight="1" s="14">
      <c r="A21" s="5" t="inlineStr">
        <is>
          <t># 搭配文章：設計研究所口試與作品集講評怎麼準備　https://tbd-edu.com/pages/resources/design-graduate-oral.html</t>
        </is>
      </c>
    </row>
    <row r="22" ht="28" customHeight="1" s="14">
      <c r="A22" s="5" t="inlineStr">
        <is>
          <t># TBD Studio ｜ https://tbd-edu.com/</t>
        </is>
      </c>
    </row>
  </sheetData>
  <mergeCells count="3">
    <mergeCell ref="A14:D14"/>
    <mergeCell ref="A19:D1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A16" sqref="A16:XFD16"/>
    </sheetView>
  </sheetViews>
  <sheetFormatPr baseColWidth="10" defaultColWidth="9" defaultRowHeight="14"/>
  <cols>
    <col width="16" customWidth="1" style="14" min="1" max="1"/>
    <col width="22" customWidth="1" style="14" min="2" max="2"/>
    <col width="72" customWidth="1" style="14" min="3" max="3"/>
    <col width="64.19921875" customWidth="1" style="14" min="4" max="4"/>
    <col width="14" customWidth="1" style="14" min="5" max="5"/>
    <col width="12" customWidth="1" style="14" min="6" max="6"/>
  </cols>
  <sheetData>
    <row r="1" ht="30" customHeight="1" s="14">
      <c r="A1" s="2" t="inlineStr">
        <is>
          <t>設計傳播｜口試自我檢核表：作品講評　v1</t>
        </is>
      </c>
    </row>
    <row r="2" ht="28" customHeight="1" s="14">
      <c r="A2" s="18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14"/>
    <row r="4" ht="24" customHeight="1" s="14">
      <c r="A4" s="1" t="inlineStr">
        <is>
          <t>模擬追問紀錄</t>
        </is>
      </c>
    </row>
    <row r="5" ht="26" customHeight="1" s="14">
      <c r="A5" s="3" t="inlineStr">
        <is>
          <t>日期</t>
        </is>
      </c>
      <c r="B5" s="3" t="inlineStr">
        <is>
          <t>追問類型</t>
        </is>
      </c>
      <c r="C5" s="3" t="inlineStr">
        <is>
          <t>被問倒的地方</t>
        </is>
      </c>
      <c r="D5" s="3" t="inlineStr">
        <is>
          <t>我的下一步</t>
        </is>
      </c>
      <c r="E5" s="3" t="inlineStr">
        <is>
          <t>已改進</t>
        </is>
      </c>
    </row>
    <row r="6" ht="32" customHeight="1" s="14">
      <c r="A6" s="8" t="n"/>
      <c r="B6" s="6" t="n"/>
      <c r="C6" s="6" t="n"/>
      <c r="D6" s="6" t="n"/>
      <c r="E6" s="6" t="n"/>
    </row>
    <row r="7" ht="32" customHeight="1" s="14">
      <c r="A7" s="8" t="n"/>
      <c r="B7" s="6" t="n"/>
      <c r="C7" s="6" t="n"/>
      <c r="D7" s="6" t="n"/>
      <c r="E7" s="6" t="n"/>
    </row>
    <row r="8" ht="32" customHeight="1" s="14">
      <c r="A8" s="8" t="n"/>
      <c r="B8" s="6" t="n"/>
      <c r="C8" s="6" t="n"/>
      <c r="D8" s="6" t="n"/>
      <c r="E8" s="6" t="n"/>
    </row>
    <row r="9" ht="32" customHeight="1" s="14">
      <c r="A9" s="8" t="n"/>
      <c r="B9" s="6" t="n"/>
      <c r="C9" s="6" t="n"/>
      <c r="D9" s="6" t="n"/>
      <c r="E9" s="6" t="n"/>
    </row>
    <row r="10" ht="32" customHeight="1" s="14">
      <c r="A10" s="8" t="n"/>
      <c r="B10" s="6" t="n"/>
      <c r="C10" s="6" t="n"/>
      <c r="D10" s="6" t="n"/>
      <c r="E10" s="6" t="n"/>
    </row>
    <row r="11" ht="32" customHeight="1" s="14">
      <c r="A11" s="8" t="n"/>
      <c r="B11" s="6" t="n"/>
      <c r="C11" s="6" t="n"/>
      <c r="D11" s="6" t="n"/>
      <c r="E11" s="6" t="n"/>
    </row>
    <row r="12" ht="32" customHeight="1" s="14">
      <c r="A12" s="8" t="n"/>
      <c r="B12" s="6" t="n"/>
      <c r="C12" s="6" t="n"/>
      <c r="D12" s="6" t="n"/>
      <c r="E12" s="6" t="n"/>
    </row>
    <row r="13" ht="32" customHeight="1" s="14">
      <c r="A13" s="8" t="n"/>
      <c r="B13" s="6" t="n"/>
      <c r="C13" s="6" t="n"/>
      <c r="D13" s="6" t="n"/>
      <c r="E13" s="6" t="n"/>
    </row>
    <row r="14" ht="32" customHeight="1" s="14">
      <c r="A14" s="8" t="n"/>
      <c r="B14" s="6" t="n"/>
      <c r="C14" s="6" t="n"/>
      <c r="D14" s="6" t="n"/>
      <c r="E14" s="6" t="n"/>
    </row>
    <row r="15" ht="32" customHeight="1" s="14">
      <c r="A15" s="8" t="n"/>
      <c r="B15" s="6" t="n"/>
      <c r="C15" s="6" t="n"/>
      <c r="D15" s="6" t="n"/>
      <c r="E15" s="6" t="n"/>
    </row>
    <row r="16" ht="42" customHeight="1" s="14">
      <c r="A16" s="9" t="inlineStr">
        <is>
          <t>自己想過和被別人當場講評是兩種壓力。找會挑戰你的同領域夥伴做一次模擬講評，四類方向都要問到。</t>
        </is>
      </c>
    </row>
    <row r="17" ht="14" customHeight="1" s="14"/>
    <row r="18" ht="28" customHeight="1" s="14">
      <c r="A18" s="5" t="inlineStr">
        <is>
          <t># 搭配文章：設計研究所口試與作品集講評怎麼準備　https://tbd-edu.com/pages/resources/design-graduate-oral.html</t>
        </is>
      </c>
    </row>
    <row r="19" ht="28" customHeight="1" s="14">
      <c r="A19" s="5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"作品與設計決策,研究計畫,方法與證據,動機與適配"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2026-09-21T09:17:58Z</dcterms:created>
  <dcterms:modified xmlns:dcterms="http://purl.org/dc/terms/" xmlns:xsi="http://www.w3.org/2001/XMLSchema-instance" xsi:type="dcterms:W3CDTF">2026-09-24T14:04:38Z</dcterms:modified>
  <cp:lastModifiedBy>TBD Studio</cp:lastModifiedBy>
</cp:coreProperties>
</file>