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執行追蹤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3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Arial"/>
      <family val="2"/>
      <b val="1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5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vertical="center"/>
    </xf>
    <xf numFmtId="0" fontId="1" fillId="0" borderId="2" pivotButton="0" quotePrefix="0" xfId="0"/>
    <xf numFmtId="0" fontId="10" fillId="0" borderId="0" applyAlignment="1" pivotButton="0" quotePrefix="0" xfId="0">
      <alignment vertical="center"/>
    </xf>
    <xf numFmtId="164" fontId="5" fillId="4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2" pivotButton="0" quotePrefix="0" xfId="0"/>
    <xf numFmtId="0" fontId="8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164" fontId="5" fillId="4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zoomScale="75" workbookViewId="0">
      <pane ySplit="2" topLeftCell="A40" activePane="bottomLeft" state="frozen"/>
      <selection pane="bottomLeft" activeCell="A45" sqref="A45:A48"/>
    </sheetView>
  </sheetViews>
  <sheetFormatPr baseColWidth="10" defaultColWidth="9" defaultRowHeight="14"/>
  <cols>
    <col width="30" customWidth="1" style="20" min="1" max="1"/>
    <col width="93.796875" customWidth="1" style="20" min="2" max="2"/>
    <col width="39" customWidth="1" style="20" min="3" max="3"/>
    <col width="14" customWidth="1" style="20" min="4" max="4"/>
    <col width="12" customWidth="1" style="20" min="5" max="6"/>
  </cols>
  <sheetData>
    <row r="1" ht="30" customHeight="1" s="20">
      <c r="A1" s="1" t="inlineStr">
        <is>
          <t>Side Project 企劃與執行追蹤板　v1</t>
        </is>
      </c>
    </row>
    <row r="2" ht="28" customHeight="1" s="20">
      <c r="A2" s="25" t="inlineStr">
        <is>
          <t>先讀這頁，大約兩分鐘。工具在下一個分頁。淡黃色的儲存格是要你填或勾的，其餘是給你讀的。</t>
        </is>
      </c>
    </row>
    <row r="3" ht="40" customHeight="1" s="20"/>
    <row r="4" ht="24" customHeight="1" s="20">
      <c r="A4" s="2" t="inlineStr">
        <is>
          <t>這份工具解決什麼</t>
        </is>
      </c>
      <c r="B4" s="3" t="n"/>
      <c r="C4" s="3" t="n"/>
      <c r="D4" s="3" t="n"/>
      <c r="E4" s="3" t="n"/>
      <c r="F4" s="3" t="n"/>
    </row>
    <row r="5" ht="66" customHeight="1" s="20">
      <c r="A5" s="15" t="inlineStr">
        <is>
          <t>你想做一個 Side Project 放進備審，但每次都停在想到一個點子，然後就沒有然後了。這份表把六十天切成五個階段十五個任務，你只填一個日期，所有目標完成日自動排出來，剩餘天數每天更新。</t>
        </is>
      </c>
    </row>
    <row r="6" ht="45" customHeight="1" s="20">
      <c r="A6" s="26" t="inlineStr">
        <is>
          <t>前六項都還沒開始寫程式，那是刻意的。大部分做不完的 Side Project，都死在第一步就跳去寫程式。</t>
        </is>
      </c>
    </row>
    <row r="7" ht="40" customHeight="1" s="20"/>
    <row r="8" ht="24" customHeight="1" s="20">
      <c r="A8" s="2" t="inlineStr">
        <is>
          <t>什麼時候用</t>
        </is>
      </c>
      <c r="B8" s="3" t="n"/>
      <c r="C8" s="3" t="n"/>
      <c r="D8" s="3" t="n"/>
      <c r="E8" s="3" t="n"/>
      <c r="F8" s="3" t="n"/>
    </row>
    <row r="9" ht="66" customHeight="1" s="20">
      <c r="A9" s="15" t="inlineStr">
        <is>
          <t>高一下到高二暑假最理想，高三上才開始會跟備審撞期。你需要一段連續六十天不被段考完全佔滿的時間。不用每天做，但不能中斷超過兩週，那樣前面的動能會歸零。</t>
        </is>
      </c>
    </row>
    <row r="10" ht="40" customHeight="1" s="20"/>
    <row r="11" ht="24" customHeight="1" s="20">
      <c r="A11" s="2" t="inlineStr">
        <is>
          <t>五個步驟</t>
        </is>
      </c>
      <c r="B11" s="3" t="n"/>
      <c r="C11" s="3" t="n"/>
      <c r="D11" s="3" t="n"/>
      <c r="E11" s="3" t="n"/>
      <c r="F11" s="3" t="n"/>
    </row>
    <row r="12" ht="26" customHeight="1" s="20">
      <c r="A12" s="4" t="inlineStr">
        <is>
          <t>步驟</t>
        </is>
      </c>
      <c r="B12" s="4" t="inlineStr">
        <is>
          <t>做什麼</t>
        </is>
      </c>
      <c r="C12" s="5" t="n"/>
      <c r="D12" s="5" t="n"/>
      <c r="E12" s="5" t="n"/>
      <c r="F12" s="5" t="n"/>
    </row>
    <row r="13" ht="48" customHeight="1" s="20">
      <c r="A13" s="6" t="inlineStr">
        <is>
          <t>只有一格要填</t>
        </is>
      </c>
      <c r="B13" s="6" t="inlineStr">
        <is>
          <t>切到「執行追蹤」分頁，把 B2 的專案開始日改成你真正要動手的那一天。不是今天，是你確定會開始的那天。</t>
        </is>
      </c>
    </row>
    <row r="14" ht="32" customHeight="1" s="20">
      <c r="A14" s="6" t="inlineStr">
        <is>
          <t>其他都自動</t>
        </is>
      </c>
      <c r="B14" s="6" t="inlineStr">
        <is>
          <t>改完之後所有目標完成日與剩餘天數會跟著重排。</t>
        </is>
      </c>
    </row>
    <row r="15" ht="40" customHeight="1" s="20"/>
    <row r="16" ht="24" customHeight="1" s="20">
      <c r="A16" s="2" t="inlineStr">
        <is>
          <t>五個階段在做什麼</t>
        </is>
      </c>
      <c r="B16" s="3" t="n"/>
      <c r="C16" s="3" t="n"/>
      <c r="D16" s="3" t="n"/>
      <c r="E16" s="3" t="n"/>
      <c r="F16" s="3" t="n"/>
    </row>
    <row r="17" ht="26" customHeight="1" s="20">
      <c r="A17" s="4" t="inlineStr">
        <is>
          <t>階段</t>
        </is>
      </c>
      <c r="B17" s="4" t="inlineStr">
        <is>
          <t>天數</t>
        </is>
      </c>
      <c r="C17" s="4" t="inlineStr">
        <is>
          <t>重點</t>
        </is>
      </c>
      <c r="D17" s="5" t="n"/>
      <c r="E17" s="5" t="n"/>
      <c r="F17" s="5" t="n"/>
    </row>
    <row r="18" ht="32" customHeight="1" s="20">
      <c r="A18" s="6" t="inlineStr">
        <is>
          <t>第 1 步　定義問題</t>
        </is>
      </c>
      <c r="B18" s="6" t="inlineStr">
        <is>
          <t>第 3 到 7 天</t>
        </is>
      </c>
      <c r="C18" s="6" t="inlineStr">
        <is>
          <t>寫下的是問題不是解法</t>
        </is>
      </c>
    </row>
    <row r="19" ht="32" customHeight="1" s="20">
      <c r="A19" s="6" t="inlineStr">
        <is>
          <t>第 2 步　定義 MVP</t>
        </is>
      </c>
      <c r="B19" s="6" t="inlineStr">
        <is>
          <t>第 10 到 14 天</t>
        </is>
      </c>
      <c r="C19" s="6" t="inlineStr">
        <is>
          <t>功能刪到只剩一個</t>
        </is>
      </c>
    </row>
    <row r="20" ht="32" customHeight="1" s="20">
      <c r="A20" s="6" t="inlineStr">
        <is>
          <t>第 3 步　做第一版</t>
        </is>
      </c>
      <c r="B20" s="6" t="inlineStr">
        <is>
          <t>第 35 天</t>
        </is>
      </c>
      <c r="C20" s="6" t="inlineStr">
        <is>
          <t>唯一大塊的實作時間</t>
        </is>
      </c>
    </row>
    <row r="21" ht="32" customHeight="1" s="20">
      <c r="A21" s="6" t="inlineStr">
        <is>
          <t>第 4 步　外部反應</t>
        </is>
      </c>
      <c r="B21" s="6" t="inlineStr">
        <is>
          <t>第 42 到 52 天</t>
        </is>
      </c>
      <c r="C21" s="6" t="inlineStr">
        <is>
          <t>找三個真實使用者</t>
        </is>
      </c>
    </row>
    <row r="22" ht="32" customHeight="1" s="20">
      <c r="A22" s="6" t="inlineStr">
        <is>
          <t>第 5 步　可展示</t>
        </is>
      </c>
      <c r="B22" s="6" t="inlineStr">
        <is>
          <t>第 56 到 60 天</t>
        </is>
      </c>
      <c r="C22" s="6" t="inlineStr">
        <is>
          <t>README、截圖、反思</t>
        </is>
      </c>
    </row>
    <row r="23" ht="40" customHeight="1" s="20"/>
    <row r="24" ht="24" customHeight="1" s="20">
      <c r="A24" s="2" t="inlineStr">
        <is>
          <t>三個最常被跳過、但最不該跳的</t>
        </is>
      </c>
      <c r="B24" s="3" t="n"/>
      <c r="C24" s="3" t="n"/>
      <c r="D24" s="3" t="n"/>
      <c r="E24" s="3" t="n"/>
      <c r="F24" s="3" t="n"/>
    </row>
    <row r="25" ht="26" customHeight="1" s="20">
      <c r="A25" s="4" t="inlineStr">
        <is>
          <t>任務</t>
        </is>
      </c>
      <c r="B25" s="4" t="inlineStr">
        <is>
          <t>為什麼</t>
        </is>
      </c>
      <c r="C25" s="5" t="n"/>
      <c r="D25" s="5" t="n"/>
      <c r="E25" s="5" t="n"/>
      <c r="F25" s="5" t="n"/>
    </row>
    <row r="26" ht="60" customHeight="1" s="20">
      <c r="A26" s="6" t="inlineStr">
        <is>
          <t>確認這是別人也有的問題</t>
        </is>
      </c>
      <c r="B26" s="6" t="inlineStr">
        <is>
          <t>備註寫「問三個人」。這一步不做，你會花六十天做一個只有你需要的東西。</t>
        </is>
      </c>
    </row>
    <row r="27" ht="60" customHeight="1" s="20">
      <c r="A27" s="6" t="inlineStr">
        <is>
          <t>每次卡關當下就記一筆</t>
        </is>
      </c>
      <c r="B27" s="6" t="inlineStr">
        <is>
          <t>事後補寫一定寫不出來。這些卡關紀錄就是你之後寫備審與面試答題的素材，比成果本身更有價值。</t>
        </is>
      </c>
    </row>
    <row r="28" ht="60" customHeight="1" s="20">
      <c r="A28" s="6" t="inlineStr">
        <is>
          <t>補一張截圖或 Demo 連結</t>
        </is>
      </c>
      <c r="B28" s="6" t="inlineStr">
        <is>
          <t>最常被略過也最有效。沒有人會為了看你的專案去 clone 你的 repo。</t>
        </is>
      </c>
    </row>
    <row r="29" ht="40" customHeight="1" s="20"/>
    <row r="30" ht="24" customHeight="1" s="20">
      <c r="A30" s="2" t="inlineStr">
        <is>
          <t>做完之後你會有四樣東西</t>
        </is>
      </c>
      <c r="B30" s="3" t="n"/>
      <c r="C30" s="3" t="n"/>
      <c r="D30" s="3" t="n"/>
      <c r="E30" s="3" t="n"/>
      <c r="F30" s="3" t="n"/>
    </row>
    <row r="31" ht="26" customHeight="1" s="20">
      <c r="A31" s="4" t="inlineStr">
        <is>
          <t>產出</t>
        </is>
      </c>
      <c r="B31" s="4" t="inlineStr">
        <is>
          <t>接到哪裡</t>
        </is>
      </c>
      <c r="C31" s="5" t="n"/>
      <c r="D31" s="5" t="n"/>
      <c r="E31" s="5" t="n"/>
      <c r="F31" s="5" t="n"/>
    </row>
    <row r="32" ht="43" customHeight="1" s="20">
      <c r="A32" s="6" t="inlineStr">
        <is>
          <t>一個做完的 MVP</t>
        </is>
      </c>
      <c r="B32" s="6" t="inlineStr">
        <is>
          <t>可以放進備審的具體成果</t>
        </is>
      </c>
    </row>
    <row r="33" ht="43" customHeight="1" s="20">
      <c r="A33" s="6" t="inlineStr">
        <is>
          <t>三個真實使用者的回饋紀錄</t>
        </is>
      </c>
      <c r="B33" s="6" t="inlineStr">
        <is>
          <t>面試被問「你怎麼知道這個設計有效」時的答案</t>
        </is>
      </c>
    </row>
    <row r="34" ht="43" customHeight="1" s="20">
      <c r="A34" s="6" t="inlineStr">
        <is>
          <t>一份 README</t>
        </is>
      </c>
      <c r="B34" s="6" t="inlineStr">
        <is>
          <t>用「README 與 Portfolio 內容規劃表」寫</t>
        </is>
      </c>
    </row>
    <row r="35" ht="43" customHeight="1" s="20">
      <c r="A35" s="6" t="inlineStr">
        <is>
          <t>一段我以為 X 但發現 Y 的反思</t>
        </is>
      </c>
      <c r="B35" s="6" t="inlineStr">
        <is>
          <t>用「學習歷程『反思』寫作引導」寫</t>
        </is>
      </c>
    </row>
    <row r="36" ht="66" customHeight="1" s="20">
      <c r="A36" s="19" t="inlineStr">
        <is>
          <t>四樣裡最值錢的是使用者回饋。MVP 本身在備審裡是可以被取代的，別人也做得出類似的東西；但「我拿去給三個人用、他們卡在這裡、所以我改了」，那是幾乎沒有高中生做過的事。</t>
        </is>
      </c>
    </row>
    <row r="37" ht="40" customHeight="1" s="20"/>
    <row r="38" ht="24" customHeight="1" s="20">
      <c r="A38" s="2" t="inlineStr">
        <is>
          <t>卡關時</t>
        </is>
      </c>
      <c r="B38" s="3" t="n"/>
      <c r="C38" s="3" t="n"/>
      <c r="D38" s="3" t="n"/>
      <c r="E38" s="3" t="n"/>
      <c r="F38" s="3" t="n"/>
    </row>
    <row r="39" ht="26" customHeight="1" s="20">
      <c r="A39" s="4" t="inlineStr">
        <is>
          <t>狀況</t>
        </is>
      </c>
      <c r="B39" s="4" t="inlineStr">
        <is>
          <t>怎麼辦</t>
        </is>
      </c>
      <c r="C39" s="5" t="n"/>
      <c r="D39" s="5" t="n"/>
      <c r="E39" s="5" t="n"/>
      <c r="F39" s="5" t="n"/>
    </row>
    <row r="40" ht="72" customHeight="1" s="20">
      <c r="A40" s="6" t="inlineStr">
        <is>
          <t>剩餘天數變成負的</t>
        </is>
      </c>
      <c r="B40" s="6" t="inlineStr">
        <is>
          <t>逾期不代表失敗。要嘛把 B2 往後改讓整張表重排，要嘛接受落後把第 3 步 的範圍再砍一次。不要兩個都不做然後繼續拖。</t>
        </is>
      </c>
    </row>
    <row r="41" ht="72" customHeight="1" s="20">
      <c r="A41" s="6" t="inlineStr">
        <is>
          <t>MVP 估出來要一個月以上</t>
        </is>
      </c>
      <c r="B41" s="6" t="inlineStr">
        <is>
          <t>表格自己有答案：超過兩週就再砍一次，砍到兩週內做得完為止。</t>
        </is>
      </c>
    </row>
    <row r="42" ht="72" customHeight="1" s="20">
      <c r="A42" s="6" t="inlineStr">
        <is>
          <t>找不到三個真實使用者</t>
        </is>
      </c>
      <c r="B42" s="6" t="inlineStr">
        <is>
          <t>同學、學弟妹、社團的人都算，重點是他們真的會用，不是他們認識你。</t>
        </is>
      </c>
    </row>
    <row r="43" ht="72" customHeight="1" s="20">
      <c r="A43" s="6" t="inlineStr">
        <is>
          <t>第 4 步回饋很負面</t>
        </is>
      </c>
      <c r="B43" s="6" t="inlineStr">
        <is>
          <t>那是這一步成功了。表格要你記的是他們卡住的地方，不是他們的稱讚。</t>
        </is>
      </c>
    </row>
    <row r="44" ht="72" customHeight="1" s="20">
      <c r="A44" s="6" t="inlineStr">
        <is>
          <t>做到一半覺得題目沒意義</t>
        </is>
      </c>
      <c r="B44" s="6" t="inlineStr">
        <is>
          <t>最常發生在第 3 步。要嘛換題目重跑，前十四天的方法可以直接複用；要嘛照原計畫做完再說。我建議後者。一個做完但普通的專案，價值遠高於三個做到一半的好點子。</t>
        </is>
      </c>
    </row>
    <row r="45" ht="28" customHeight="1" s="20">
      <c r="A45" s="16" t="n"/>
      <c r="B45" s="15" t="n"/>
    </row>
    <row r="46" ht="14" customHeight="1" s="20"/>
    <row r="47" ht="28" customHeight="1" s="20">
      <c r="A47" s="8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搭配文章：從</t>
          </r>
          <r>
            <rPr>
              <rFont val="Courier New"/>
              <family val="1"/>
              <color theme="1" tint="0.3499862666707358"/>
              <sz val="16"/>
            </rPr>
            <t xml:space="preserve"> 0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到</t>
          </r>
          <r>
            <rPr>
              <rFont val="Courier New"/>
              <family val="1"/>
              <color theme="1" tint="0.3499862666707358"/>
              <sz val="16"/>
            </rPr>
            <t xml:space="preserve"> 1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：</t>
          </r>
          <r>
            <rPr>
              <rFont val="Courier New"/>
              <family val="1"/>
              <color theme="1" tint="0.3499862666707358"/>
              <sz val="16"/>
            </rPr>
            <t xml:space="preserve">Side Project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從題目到成果的完整流程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https://tbd-edu.com/pages/resources/side-project-from-zero.html</t>
          </r>
        </is>
      </c>
      <c r="B47" s="9" t="n"/>
      <c r="C47" s="9" t="n"/>
      <c r="D47" s="9" t="n"/>
      <c r="E47" s="9" t="n"/>
      <c r="F47" s="9" t="n"/>
    </row>
    <row r="48" ht="28" customHeight="1" s="20">
      <c r="A48" s="8" t="inlineStr">
        <is>
          <t># TBD Studio ｜ https://tbd-edu.com/</t>
        </is>
      </c>
    </row>
  </sheetData>
  <mergeCells count="5">
    <mergeCell ref="A36:F36"/>
    <mergeCell ref="A5:F5"/>
    <mergeCell ref="A9:F9"/>
    <mergeCell ref="A6:F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tabSelected="1" zoomScale="75" workbookViewId="0">
      <pane ySplit="3" topLeftCell="A7" activePane="bottomLeft" state="frozen"/>
      <selection pane="bottomLeft" activeCell="H18" sqref="H18"/>
    </sheetView>
  </sheetViews>
  <sheetFormatPr baseColWidth="10" defaultColWidth="9" defaultRowHeight="14"/>
  <cols>
    <col width="27" customWidth="1" style="20" min="1" max="1"/>
    <col width="66" customWidth="1" style="20" min="2" max="2"/>
    <col width="22.3984375" customWidth="1" style="20" min="3" max="3"/>
    <col width="18" customWidth="1" style="20" min="4" max="5"/>
    <col width="45" customWidth="1" style="20" min="6" max="6"/>
  </cols>
  <sheetData>
    <row r="1" ht="30" customHeight="1" s="20">
      <c r="A1" s="1" t="inlineStr">
        <is>
          <t>Side Project 企劃與執行追蹤板　v1</t>
        </is>
      </c>
    </row>
    <row r="2" ht="28" customHeight="1" s="20">
      <c r="A2" s="10" t="inlineStr">
        <is>
          <t>專案開始日 →</t>
        </is>
      </c>
      <c r="B2" s="27" t="n"/>
    </row>
    <row r="3" ht="32" customHeight="1" s="20">
      <c r="A3" s="28" t="inlineStr">
        <is>
          <t>改 B2 的日期，所有目標完成日自動重排。剩餘天數為負代表已逾期。</t>
        </is>
      </c>
    </row>
    <row r="4" ht="40" customHeight="1" s="20"/>
    <row r="5" ht="26" customHeight="1" s="20">
      <c r="A5" s="4" t="inlineStr">
        <is>
          <t>階段</t>
        </is>
      </c>
      <c r="B5" s="4" t="inlineStr">
        <is>
          <t>任務</t>
        </is>
      </c>
      <c r="C5" s="4" t="inlineStr">
        <is>
          <t>目標完成日</t>
        </is>
      </c>
      <c r="D5" s="4" t="inlineStr">
        <is>
          <t>剩餘天數</t>
        </is>
      </c>
      <c r="E5" s="4" t="inlineStr">
        <is>
          <t>狀態</t>
        </is>
      </c>
      <c r="F5" s="4" t="inlineStr">
        <is>
          <t>卡關與筆記</t>
        </is>
      </c>
    </row>
    <row r="6" ht="42" customHeight="1" s="20">
      <c r="A6" s="6" t="inlineStr">
        <is>
          <t>第 1 步　定義問題</t>
        </is>
      </c>
      <c r="B6" s="6" t="inlineStr">
        <is>
          <t>寫下你觀察到的問題，一句話</t>
        </is>
      </c>
      <c r="C6" s="29">
        <f>IF($B$2="","",$B$2+3)</f>
        <v/>
      </c>
      <c r="D6" s="13">
        <f>IF(C6="","",C6-TODAY())</f>
        <v/>
      </c>
      <c r="E6" s="14" t="n"/>
      <c r="F6" s="19" t="inlineStr">
        <is>
          <t>注意是問題不是解法</t>
        </is>
      </c>
    </row>
    <row r="7" ht="48" customHeight="1" s="20">
      <c r="A7" s="6" t="inlineStr">
        <is>
          <t>第 1 步　定義問題</t>
        </is>
      </c>
      <c r="B7" s="6" t="inlineStr">
        <is>
          <t>說明這個問題現在怎麼被解決、哪裡不夠好</t>
        </is>
      </c>
      <c r="C7" s="29">
        <f>IF($B$2="","",$B$2+5)</f>
        <v/>
      </c>
      <c r="D7" s="13">
        <f>IF(C7="","",C7-TODAY())</f>
        <v/>
      </c>
      <c r="E7" s="14" t="n"/>
      <c r="F7" s="19" t="n"/>
    </row>
    <row r="8" ht="42" customHeight="1" s="20">
      <c r="A8" s="6" t="inlineStr">
        <is>
          <t>第 1 步　定義問題</t>
        </is>
      </c>
      <c r="B8" s="6" t="inlineStr">
        <is>
          <t>確認這是別人也有的問題，不只是你自己</t>
        </is>
      </c>
      <c r="C8" s="29">
        <f>IF($B$2="","",$B$2+7)</f>
        <v/>
      </c>
      <c r="D8" s="13">
        <f>IF(C8="","",C8-TODAY())</f>
        <v/>
      </c>
      <c r="E8" s="14" t="n"/>
      <c r="F8" s="19" t="inlineStr">
        <is>
          <t>問三個人</t>
        </is>
      </c>
    </row>
    <row r="9" ht="48" customHeight="1" s="20">
      <c r="A9" s="6" t="inlineStr">
        <is>
          <t>第 2 步　定義 MVP</t>
        </is>
      </c>
      <c r="B9" s="6" t="inlineStr">
        <is>
          <t>列出所有想做的功能，然後刪到只剩一個</t>
        </is>
      </c>
      <c r="C9" s="29">
        <f>IF($B$2="","",$B$2+10)</f>
        <v/>
      </c>
      <c r="D9" s="13">
        <f>IF(C9="","",C9-TODAY())</f>
        <v/>
      </c>
      <c r="E9" s="14" t="n"/>
      <c r="F9" s="19" t="n"/>
    </row>
    <row r="10" ht="42" customHeight="1" s="20">
      <c r="A10" s="6" t="inlineStr">
        <is>
          <t>第 2 步　定義 MVP</t>
        </is>
      </c>
      <c r="B10" s="6" t="inlineStr">
        <is>
          <t>寫下做完長什麼樣的驗收條件</t>
        </is>
      </c>
      <c r="C10" s="29">
        <f>IF($B$2="","",$B$2+12)</f>
        <v/>
      </c>
      <c r="D10" s="13">
        <f>IF(C10="","",C10-TODAY())</f>
        <v/>
      </c>
      <c r="E10" s="14" t="n"/>
      <c r="F10" s="19" t="inlineStr">
        <is>
          <t>沒有驗收條件就不會完成</t>
        </is>
      </c>
    </row>
    <row r="11" ht="48" customHeight="1" s="20">
      <c r="A11" s="6" t="inlineStr">
        <is>
          <t>第 2 步　定義 MVP</t>
        </is>
      </c>
      <c r="B11" s="6" t="inlineStr">
        <is>
          <t>估這個 MVP 要幾天；超過兩週就再砍一次</t>
        </is>
      </c>
      <c r="C11" s="29">
        <f>IF($B$2="","",$B$2+14)</f>
        <v/>
      </c>
      <c r="D11" s="13">
        <f>IF(C11="","",C11-TODAY())</f>
        <v/>
      </c>
      <c r="E11" s="14" t="n"/>
      <c r="F11" s="19" t="n"/>
    </row>
    <row r="12" ht="48" customHeight="1" s="20">
      <c r="A12" s="6" t="inlineStr">
        <is>
          <t>第 3 步　做第一版</t>
        </is>
      </c>
      <c r="B12" s="6" t="inlineStr">
        <is>
          <t>完成 MVP 第一版</t>
        </is>
      </c>
      <c r="C12" s="29">
        <f>IF($B$2="","",$B$2+35)</f>
        <v/>
      </c>
      <c r="D12" s="13">
        <f>IF(C12="","",C12-TODAY())</f>
        <v/>
      </c>
      <c r="E12" s="14" t="n"/>
      <c r="F12" s="19" t="n"/>
    </row>
    <row r="13" ht="42" customHeight="1" s="20">
      <c r="A13" s="6" t="inlineStr">
        <is>
          <t>第 3 步　做第一版</t>
        </is>
      </c>
      <c r="B13" s="6" t="inlineStr">
        <is>
          <t>每次卡關當下就記一筆：卡在哪、怎麼解的</t>
        </is>
      </c>
      <c r="C13" s="29">
        <f>IF($B$2="","",$B$2+35)</f>
        <v/>
      </c>
      <c r="D13" s="13">
        <f>IF(C13="","",C13-TODAY())</f>
        <v/>
      </c>
      <c r="E13" s="14" t="n"/>
      <c r="F13" s="19" t="inlineStr">
        <is>
          <t>事後補寫一定寫不出來</t>
        </is>
      </c>
    </row>
    <row r="14" ht="42" customHeight="1" s="20">
      <c r="A14" s="6" t="inlineStr">
        <is>
          <t>第 3 步　做第一版</t>
        </is>
      </c>
      <c r="B14" s="6" t="inlineStr">
        <is>
          <t>留下過程截圖或 commit 紀錄</t>
        </is>
      </c>
      <c r="C14" s="29">
        <f>IF($B$2="","",$B$2+35)</f>
        <v/>
      </c>
      <c r="D14" s="13">
        <f>IF(C14="","",C14-TODAY())</f>
        <v/>
      </c>
      <c r="E14" s="14" t="n"/>
      <c r="F14" s="19" t="inlineStr">
        <is>
          <t>這是備審的佐證</t>
        </is>
      </c>
    </row>
    <row r="15" ht="42" customHeight="1" s="20">
      <c r="A15" s="6" t="inlineStr">
        <is>
          <t>第 4 步　外部反應</t>
        </is>
      </c>
      <c r="B15" s="6" t="inlineStr">
        <is>
          <t>找三個真實使用者試用</t>
        </is>
      </c>
      <c r="C15" s="29">
        <f>IF($B$2="","",$B$2+42)</f>
        <v/>
      </c>
      <c r="D15" s="13">
        <f>IF(C15="","",C15-TODAY())</f>
        <v/>
      </c>
      <c r="E15" s="14" t="n"/>
      <c r="F15" s="19" t="inlineStr">
        <is>
          <t>不要只找朋友說好</t>
        </is>
      </c>
    </row>
    <row r="16" ht="48" customHeight="1" s="20">
      <c r="A16" s="6" t="inlineStr">
        <is>
          <t>第 4 步　外部反應</t>
        </is>
      </c>
      <c r="B16" s="6" t="inlineStr">
        <is>
          <t>記下他們卡住的地方，不是他們的稱讚</t>
        </is>
      </c>
      <c r="C16" s="29">
        <f>IF($B$2="","",$B$2+45)</f>
        <v/>
      </c>
      <c r="D16" s="13">
        <f>IF(C16="","",C16-TODAY())</f>
        <v/>
      </c>
      <c r="E16" s="14" t="n"/>
      <c r="F16" s="19" t="n"/>
    </row>
    <row r="17" ht="48" customHeight="1" s="20">
      <c r="A17" s="6" t="inlineStr">
        <is>
          <t>第 4 步　外部反應</t>
        </is>
      </c>
      <c r="B17" s="6" t="inlineStr">
        <is>
          <t>依回饋改一輪</t>
        </is>
      </c>
      <c r="C17" s="29">
        <f>IF($B$2="","",$B$2+52)</f>
        <v/>
      </c>
      <c r="D17" s="13">
        <f>IF(C17="","",C17-TODAY())</f>
        <v/>
      </c>
      <c r="E17" s="14" t="n"/>
      <c r="F17" s="19" t="n"/>
    </row>
    <row r="18" ht="48" customHeight="1" s="20">
      <c r="A18" s="6" t="inlineStr">
        <is>
          <t>第 5 步　可展示</t>
        </is>
      </c>
      <c r="B18" s="6" t="inlineStr">
        <is>
          <t>寫 README（用「README 與 Portfolio 內容規劃表」的 README 公版分頁）</t>
        </is>
      </c>
      <c r="C18" s="29">
        <f>IF($B$2="","",$B$2+56)</f>
        <v/>
      </c>
      <c r="D18" s="13">
        <f>IF(C18="","",C18-TODAY())</f>
        <v/>
      </c>
      <c r="E18" s="14" t="n"/>
      <c r="F18" s="19" t="n"/>
    </row>
    <row r="19" ht="42" customHeight="1" s="20">
      <c r="A19" s="6" t="inlineStr">
        <is>
          <t>第 5 步　可展示</t>
        </is>
      </c>
      <c r="B19" s="6" t="inlineStr">
        <is>
          <t>補一張截圖或 Demo 連結</t>
        </is>
      </c>
      <c r="C19" s="29">
        <f>IF($B$2="","",$B$2+58)</f>
        <v/>
      </c>
      <c r="D19" s="13">
        <f>IF(C19="","",C19-TODAY())</f>
        <v/>
      </c>
      <c r="E19" s="14" t="n"/>
      <c r="F19" s="19" t="inlineStr">
        <is>
          <t>最常被略過、也最有效</t>
        </is>
      </c>
    </row>
    <row r="20" ht="42" customHeight="1" s="20">
      <c r="A20" s="6" t="inlineStr">
        <is>
          <t>第 5 步　可展示</t>
        </is>
      </c>
      <c r="B20" s="6" t="inlineStr">
        <is>
          <t>寫一段我以為 X 但發現 Y 的反思</t>
        </is>
      </c>
      <c r="C20" s="29">
        <f>IF($B$2="","",$B$2+60)</f>
        <v/>
      </c>
      <c r="D20" s="13">
        <f>IF(C20="","",C20-TODAY())</f>
        <v/>
      </c>
      <c r="E20" s="14" t="n"/>
      <c r="F20" s="19" t="inlineStr">
        <is>
          <t>用「學習歷程『反思』寫作引導」</t>
        </is>
      </c>
    </row>
    <row r="21" ht="40" customHeight="1" s="20">
      <c r="A21" s="18" t="n"/>
    </row>
    <row r="22" ht="48" customHeight="1" s="20">
      <c r="A22" s="17" t="n"/>
      <c r="B22" s="8" t="n"/>
      <c r="C22" s="8" t="n"/>
      <c r="D22" s="8" t="n"/>
      <c r="E22" s="8" t="n"/>
      <c r="F22" s="8" t="n"/>
    </row>
    <row r="23" ht="20" customHeight="1" s="20">
      <c r="B23" s="8" t="n"/>
      <c r="C23" s="8" t="n"/>
      <c r="D23" s="8" t="n"/>
      <c r="E23" s="8" t="n"/>
      <c r="F23" s="8" t="n"/>
    </row>
    <row r="24" ht="22" customHeight="1" s="20">
      <c r="A24" s="8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搭配文章：從</t>
          </r>
          <r>
            <rPr>
              <rFont val="Courier New"/>
              <family val="1"/>
              <color theme="1" tint="0.3499862666707358"/>
              <sz val="16"/>
            </rPr>
            <t xml:space="preserve"> 0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到</t>
          </r>
          <r>
            <rPr>
              <rFont val="Courier New"/>
              <family val="1"/>
              <color theme="1" tint="0.3499862666707358"/>
              <sz val="16"/>
            </rPr>
            <t xml:space="preserve"> 1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：</t>
          </r>
          <r>
            <rPr>
              <rFont val="Courier New"/>
              <family val="1"/>
              <color theme="1" tint="0.3499862666707358"/>
              <sz val="16"/>
            </rPr>
            <t xml:space="preserve">Side Project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從題目到成果的完整流程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https://tbd-edu.com/pages/resources/side-project-from-zero.html</t>
          </r>
        </is>
      </c>
      <c r="B24" s="8" t="n"/>
      <c r="C24" s="8" t="n"/>
      <c r="D24" s="8" t="n"/>
      <c r="E24" s="8" t="n"/>
      <c r="F24" s="8" t="n"/>
    </row>
    <row r="25" ht="28" customHeight="1" s="20">
      <c r="A25" s="8" t="inlineStr">
        <is>
          <t># TBD Studio ｜ https://tbd-edu.com/</t>
        </is>
      </c>
      <c r="B25" s="8" t="n"/>
      <c r="C25" s="8" t="n"/>
      <c r="D25" s="8" t="n"/>
      <c r="E25" s="8" t="n"/>
      <c r="F25" s="8" t="n"/>
    </row>
    <row r="26" ht="28" customHeight="1" s="20">
      <c r="A26" s="8" t="n"/>
      <c r="B26" s="8" t="n"/>
      <c r="C26" s="8" t="n"/>
      <c r="D26" s="8" t="n"/>
      <c r="E26" s="8" t="n"/>
      <c r="F26" s="8" t="n"/>
    </row>
    <row r="27" ht="14" customHeight="1" s="20">
      <c r="A27" s="8" t="n"/>
      <c r="B27" s="8" t="n"/>
      <c r="C27" s="8" t="n"/>
      <c r="D27" s="8" t="n"/>
      <c r="E27" s="8" t="n"/>
      <c r="F27" s="8" t="n"/>
    </row>
  </sheetData>
  <mergeCells count="1">
    <mergeCell ref="A3:F3"/>
  </mergeCells>
  <dataValidations count="1">
    <dataValidation sqref="E6:E20" showDropDown="0" showInputMessage="0" showErrorMessage="0" allowBlank="0" type="list">
      <formula1>"未開始,進行中,完成"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2026-08-30T15:58:29Z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