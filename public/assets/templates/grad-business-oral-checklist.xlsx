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4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題庫與素材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  <sheet xmlns:r="http://schemas.openxmlformats.org/officeDocument/2006/relationships" name="模擬追問紀錄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family val="2"/>
      <color theme="1"/>
      <sz val="11"/>
      <scheme val="minor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Arial"/>
      <family val="2"/>
      <b val="1"/>
      <color rgb="FFA54E3D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2"/>
      <sz val="16"/>
    </font>
    <font>
      <name val="Arial"/>
      <charset val="136"/>
      <family val="2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3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9">
    <xf numFmtId="0" fontId="0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horizontal="left"/>
    </xf>
    <xf numFmtId="0" fontId="4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2" applyAlignment="1" pivotButton="0" quotePrefix="0" xfId="0">
      <alignment vertical="center"/>
    </xf>
    <xf numFmtId="0" fontId="7" fillId="4" borderId="1" applyAlignment="1" pivotButton="0" quotePrefix="0" xfId="0">
      <alignment vertical="top" wrapText="1"/>
    </xf>
    <xf numFmtId="9" fontId="7" fillId="0" borderId="1" applyAlignment="1" pivotButton="0" quotePrefix="0" xfId="0">
      <alignment vertical="top" wrapText="1"/>
    </xf>
    <xf numFmtId="14" fontId="7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0" borderId="2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2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zoomScale="75" workbookViewId="0">
      <pane ySplit="2" topLeftCell="A81" activePane="bottomLeft" state="frozen"/>
      <selection pane="bottomLeft" activeCell="A85" sqref="A85:XFD89"/>
    </sheetView>
  </sheetViews>
  <sheetFormatPr baseColWidth="10" defaultColWidth="9" defaultRowHeight="14"/>
  <cols>
    <col width="69.3984375" customWidth="1" style="10" min="1" max="1"/>
    <col width="90.796875" customWidth="1" style="10" min="2" max="2"/>
    <col width="59.59765625" customWidth="1" style="10" min="3" max="3"/>
    <col width="14" customWidth="1" style="10" min="4" max="4"/>
    <col width="12" customWidth="1" style="10" min="5" max="6"/>
  </cols>
  <sheetData>
    <row r="1" ht="30" customHeight="1" s="10">
      <c r="A1" s="2" t="inlineStr">
        <is>
          <t>商管與財經｜口試自我檢核表　v1</t>
        </is>
      </c>
    </row>
    <row r="2" ht="28" customHeight="1" s="10">
      <c r="A2" s="15" t="inlineStr">
        <is>
          <t>先讀這頁，大約7分鐘。這份工具有五個分頁，主體是題庫與打勾。</t>
        </is>
      </c>
    </row>
    <row r="3" ht="40" customHeight="1" s="10"/>
    <row r="4" ht="24" customHeight="1" s="10">
      <c r="A4" s="1" t="inlineStr">
        <is>
          <t>這份表是什麼、不是什麼</t>
        </is>
      </c>
    </row>
    <row r="5" ht="26" customHeight="1" s="10">
      <c r="A5" s="3" t="inlineStr">
        <is>
          <t>它是</t>
        </is>
      </c>
      <c r="B5" s="3" t="inlineStr">
        <is>
          <t>它不是</t>
        </is>
      </c>
    </row>
    <row r="6" ht="70" customHeight="1" s="10">
      <c r="A6" s="4" t="inlineStr">
        <is>
          <t>一面鏡子。照出你對研究計畫、專業科目、財經時事與個案題準備到哪了，哪些題目還答不出來。</t>
        </is>
      </c>
      <c r="B6" s="4" t="inlineStr">
        <is>
          <t>自我介紹稿。背熟的稿在面試前三分鐘有用，題目一跳到「你怎麼看最近的升息」就失去節奏。</t>
        </is>
      </c>
    </row>
    <row r="7" ht="32" customHeight="1" s="10">
      <c r="A7" s="4" t="inlineStr">
        <is>
          <t>一次二十分鐘就做得完的自我盤點。</t>
        </is>
      </c>
      <c r="B7" s="4" t="inlineStr">
        <is>
          <t>口才訓練。這裡不教你怎麼講，只告訴你哪一題還沒想通。</t>
        </is>
      </c>
    </row>
    <row r="8" ht="48" customHeight="1" s="10">
      <c r="A8" s="4" t="inlineStr">
        <is>
          <t>可以重複用的。每模擬一次口試就回來打一次。</t>
        </is>
      </c>
      <c r="B8" s="4" t="inlineStr">
        <is>
          <t>一次性的清單。全部打完勾不是終點，是可以上場的起點。</t>
        </is>
      </c>
    </row>
    <row r="9" ht="40" customHeight="1" s="10"/>
    <row r="10" ht="24" customHeight="1" s="10">
      <c r="A10" s="1" t="inlineStr">
        <is>
          <t>口試是綜合能力測試，不只是研究計畫答辯</t>
        </is>
      </c>
    </row>
    <row r="11" ht="48" customHeight="1" s="10">
      <c r="A11" s="16" t="inlineStr">
        <is>
          <t>同一場口試裡，教授可能同時在檢驗：你對研究計畫的理解、專業科目的基礎、有沒有在追蹤財經時事、商業邏輯清不清楚、英文表達、面對個案情境的分析能力，以及臨場反應與申請動機的一致性。</t>
        </is>
      </c>
    </row>
    <row r="12" ht="42" customHeight="1" s="10">
      <c r="A12" s="11" t="inlineStr">
        <is>
          <t>準備方向不該是「把答案背熟」，而是建立幾套能重複使用的分析框架，加上足夠的基礎知識與時事累積。你不是在背無限多個答案，而是在練幾種思考方式。</t>
        </is>
      </c>
    </row>
    <row r="13" ht="40" customHeight="1" s="10"/>
    <row r="14" ht="24" customHeight="1" s="10">
      <c r="A14" s="1" t="inlineStr">
        <is>
          <t>兩個可以直接用的答題框架</t>
        </is>
      </c>
    </row>
    <row r="15" ht="26" customHeight="1" s="10">
      <c r="A15" s="3" t="inlineStr">
        <is>
          <t>題型</t>
        </is>
      </c>
      <c r="B15" s="3" t="inlineStr">
        <is>
          <t>順序</t>
        </is>
      </c>
      <c r="C15" s="3" t="inlineStr">
        <is>
          <t>重點</t>
        </is>
      </c>
    </row>
    <row r="16" ht="48" customHeight="1" s="10">
      <c r="A16" s="4" t="inlineStr">
        <is>
          <t>個案與情境題</t>
        </is>
      </c>
      <c r="B16" s="4" t="inlineStr">
        <is>
          <t>定義問題 → 提出分析架構 → 說明判斷依據 → 提出結論與限制</t>
        </is>
      </c>
      <c r="C16" s="4" t="inlineStr">
        <is>
          <t>讓教授看見你的思考路徑，不要急著跳到結論。必要時先反問釐清。</t>
        </is>
      </c>
    </row>
    <row r="17" ht="48" customHeight="1" s="10">
      <c r="A17" s="4" t="inlineStr">
        <is>
          <t>財經時事題</t>
        </is>
      </c>
      <c r="B17" s="4" t="inlineStr">
        <is>
          <t>事件背景 → 影響機制 → 利害關係人 → 短中長期影響 → 個人判斷</t>
        </is>
      </c>
      <c r="C17" s="4" t="inlineStr">
        <is>
          <t>即使細節掌握不完整，整段回答依然有條理。</t>
        </is>
      </c>
    </row>
    <row r="18" ht="48" customHeight="1" s="10">
      <c r="A18" s="11" t="inlineStr">
        <is>
          <t>框架不是背來套的公式，而是幫你在壓力下維持結構的支架。練習方法：找五則近期財經新聞、五個你熟悉的公司或產業情境，各用框架講一次，錄下來聽。前兩次會很卡，第五次就會順很多。</t>
        </is>
      </c>
    </row>
    <row r="19" ht="40" customHeight="1" s="10"/>
    <row r="20" ht="24" customHeight="1" s="10">
      <c r="A20" s="1" t="inlineStr">
        <is>
          <t>面對不會的問題：五步</t>
        </is>
      </c>
    </row>
    <row r="21" ht="48" customHeight="1" s="10">
      <c r="A21" s="16" t="inlineStr">
        <is>
          <t>口試一定會遇到答不出來的問題，這往往是設計使然。硬答隨口編一個像答案的說法，直接卡住則是沉默或說「我不知道」就結束，兩種都扣分。把「不會」轉成一段有條理的思考展示。</t>
        </is>
      </c>
    </row>
    <row r="22" ht="40" customHeight="1" s="10"/>
    <row r="23" ht="26" customHeight="1" s="10">
      <c r="A23" s="3" t="inlineStr">
        <is>
          <t>步驟</t>
        </is>
      </c>
      <c r="B23" s="3" t="inlineStr">
        <is>
          <t>做什麼</t>
        </is>
      </c>
      <c r="C23" s="3" t="inlineStr">
        <is>
          <t>例句</t>
        </is>
      </c>
    </row>
    <row r="24" ht="48" customHeight="1" s="10">
      <c r="A24" s="4" t="inlineStr">
        <is>
          <t>1 先確認問題範圍</t>
        </is>
      </c>
      <c r="B24" s="4" t="inlineStr">
        <is>
          <t>適度反問，確認教授問的是哪一個層面。</t>
        </is>
      </c>
      <c r="C24" s="4" t="inlineStr">
        <is>
          <t>「老師想問的是這個政策對整體產業的影響，還是對特定企業的財務衝擊？」</t>
        </is>
      </c>
    </row>
    <row r="25" ht="48" customHeight="1" s="10">
      <c r="A25" s="4" t="inlineStr">
        <is>
          <t>2 說明目前掌握的部分</t>
        </is>
      </c>
      <c r="B25" s="4" t="inlineStr">
        <is>
          <t>你知道的相關概念或事實，先講出來。</t>
        </is>
      </c>
      <c r="C25" s="4" t="inlineStr">
        <is>
          <t>「就我目前的了解，這個政策主要提高了進口成本。」</t>
        </is>
      </c>
    </row>
    <row r="26" ht="48" customHeight="1" s="10">
      <c r="A26" s="4" t="inlineStr">
        <is>
          <t>3 提出分析邏輯</t>
        </is>
      </c>
      <c r="B26" s="4" t="inlineStr">
        <is>
          <t>如果要回答這題，我會從哪幾個角度看。</t>
        </is>
      </c>
      <c r="C26" s="4" t="inlineStr">
        <is>
          <t>「我會從成本結構、轉嫁能力與替代來源三個角度分析。」</t>
        </is>
      </c>
    </row>
    <row r="27" ht="48" customHeight="1" s="10">
      <c r="A27" s="4" t="inlineStr">
        <is>
          <t>4 坦白限制</t>
        </is>
      </c>
      <c r="B27" s="4" t="inlineStr">
        <is>
          <t>明確說出你目前的了解到哪裡為止。</t>
        </is>
      </c>
      <c r="C27" s="4" t="inlineStr">
        <is>
          <t>「我對這個產業的成本結構掌握還不夠完整。」</t>
        </is>
      </c>
    </row>
    <row r="28" ht="48" customHeight="1" s="10">
      <c r="A28" s="4" t="inlineStr">
        <is>
          <t>5 提出後續查證方式</t>
        </is>
      </c>
      <c r="B28" s="4" t="inlineStr">
        <is>
          <t>你會去看什麼資料、用什麼方法確認。</t>
        </is>
      </c>
      <c r="C28" s="4" t="inlineStr">
        <is>
          <t>「我會去看主要廠商的財報與產業公會的統計資料。」</t>
        </is>
      </c>
    </row>
    <row r="29" ht="40" customHeight="1" s="10"/>
    <row r="30" ht="24" customHeight="1" s="10">
      <c r="A30" s="1" t="inlineStr">
        <is>
          <t>什麼時候用，可以用幾次</t>
        </is>
      </c>
    </row>
    <row r="31" ht="48" customHeight="1" s="10">
      <c r="A31" s="16" t="inlineStr">
        <is>
          <t>收到口試通知就開始打第一次，那時候題庫會有一半是空的，那正是它的用途。財經時事那一類需要長期累積，臨時抱佛腳很容易露餡，建議每週固定一小時追蹤。之後每模擬一次口試就回來打一次，上場前一天再走最後一遍。</t>
        </is>
      </c>
    </row>
    <row r="32" ht="40" customHeight="1" s="10"/>
    <row r="33" ht="24" customHeight="1" s="10">
      <c r="A33" s="1" t="inlineStr">
        <is>
          <t>五個分頁的分工</t>
        </is>
      </c>
    </row>
    <row r="34" ht="26" customHeight="1" s="10">
      <c r="A34" s="3" t="inlineStr">
        <is>
          <t>分頁</t>
        </is>
      </c>
      <c r="B34" s="3" t="inlineStr">
        <is>
          <t>做什麼</t>
        </is>
      </c>
    </row>
    <row r="35" ht="43" customHeight="1" s="10">
      <c r="A35" s="4" t="inlineStr">
        <is>
          <t>先讀這裡</t>
        </is>
      </c>
      <c r="B35" s="4" t="inlineStr">
        <is>
          <t>你正在讀的這頁。教授在確認什麼、兩個框架、怎麼打勾、卡關怎麼辦。</t>
        </is>
      </c>
    </row>
    <row r="36" ht="43" customHeight="1" s="10">
      <c r="A36" s="4" t="inlineStr">
        <is>
          <t>題庫與素材</t>
        </is>
      </c>
      <c r="B36" s="4" t="inlineStr">
        <is>
          <t>要動手的地方。十四題各寫答案要點並打兩個勾，再填一分鐘骨架、框架練習、不會的問題五步。</t>
        </is>
      </c>
    </row>
    <row r="37" ht="43" customHeight="1" s="10">
      <c r="A37" s="4" t="inlineStr">
        <is>
          <t>檢核表</t>
        </is>
      </c>
      <c r="B37" s="4" t="inlineStr">
        <is>
          <t>4 區共 24 項，逐項打勾。每一項旁邊都寫好了沒打勾的話下一步做什麼。</t>
        </is>
      </c>
    </row>
    <row r="38" ht="43" customHeight="1" s="10">
      <c r="A38" s="4" t="inlineStr">
        <is>
          <t>我到哪了</t>
        </is>
      </c>
      <c r="B38" s="4" t="inlineStr">
        <is>
          <t>打完之後看這頁。6 區完成度與還沒打勾的數量。</t>
        </is>
      </c>
    </row>
    <row r="39" ht="43" customHeight="1" s="10">
      <c r="A39" s="4" t="inlineStr">
        <is>
          <t>模擬追問紀錄</t>
        </is>
      </c>
      <c r="B39" s="4" t="inlineStr">
        <is>
          <t>每找人模擬一次就記一列。被問倒的地方就是接下來要補的，不用寫得漂亮。</t>
        </is>
      </c>
    </row>
    <row r="40" ht="40" customHeight="1" s="10"/>
    <row r="41" ht="24" customHeight="1" s="10">
      <c r="A41" s="1" t="inlineStr">
        <is>
          <t>四個步驟</t>
        </is>
      </c>
    </row>
    <row r="42" ht="26" customHeight="1" s="10">
      <c r="A42" s="3" t="inlineStr">
        <is>
          <t>步驟</t>
        </is>
      </c>
      <c r="B42" s="3" t="inlineStr">
        <is>
          <t>做什麼</t>
        </is>
      </c>
    </row>
    <row r="43" ht="59" customHeight="1" s="10">
      <c r="A43" s="4" t="inlineStr">
        <is>
          <t>第 1 步</t>
        </is>
      </c>
      <c r="B43" s="4" t="inlineStr">
        <is>
          <t>切到「題庫與素材」分頁，十四題先寫答案要點。寫得出來就勾「寫出答案」。</t>
        </is>
      </c>
    </row>
    <row r="44" ht="59" customHeight="1" s="10">
      <c r="A44" s="4" t="inlineStr">
        <is>
          <t>第 2 步</t>
        </is>
      </c>
      <c r="B44" s="4" t="inlineStr">
        <is>
          <t>填一分鐘說明的骨架、五個情境與五則新聞的框架練習、不會的問題五步。</t>
        </is>
      </c>
    </row>
    <row r="45" ht="59" customHeight="1" s="10">
      <c r="A45" s="4" t="inlineStr">
        <is>
          <t>第 3 步</t>
        </is>
      </c>
      <c r="B45" s="4" t="inlineStr">
        <is>
          <t>找人針對四類題型連問幾輪，講得出來的題目勾「練過口說」。再切到「檢核表」4 區打勾。</t>
        </is>
      </c>
    </row>
    <row r="46" ht="59" customHeight="1" s="10">
      <c r="A46" s="4" t="inlineStr">
        <is>
          <t>第 4 步</t>
        </is>
      </c>
      <c r="B46" s="4" t="inlineStr">
        <is>
          <t>切到「我到哪了」看哪一區最短，回頭補沒打勾的那幾項。</t>
        </is>
      </c>
    </row>
    <row r="47" ht="40" customHeight="1" s="10"/>
    <row r="48" ht="24" customHeight="1" s="10">
      <c r="A48" s="1" t="inlineStr">
        <is>
          <t>六個區塊各在檢查什麼</t>
        </is>
      </c>
    </row>
    <row r="49" ht="26" customHeight="1" s="10">
      <c r="A49" s="3" t="inlineStr">
        <is>
          <t>區塊</t>
        </is>
      </c>
      <c r="B49" s="3" t="inlineStr">
        <is>
          <t>幾項</t>
        </is>
      </c>
      <c r="C49" s="3" t="inlineStr">
        <is>
          <t>在檢查什麼</t>
        </is>
      </c>
    </row>
    <row r="50" ht="32" customHeight="1" s="10">
      <c r="A50" s="4" t="inlineStr">
        <is>
          <t>題庫：寫出答案</t>
        </is>
      </c>
      <c r="B50" s="4" t="inlineStr">
        <is>
          <t>14</t>
        </is>
      </c>
      <c r="C50" s="4" t="inlineStr">
        <is>
          <t>四類題型十四題，寫得出答案要點了沒。</t>
        </is>
      </c>
    </row>
    <row r="51" ht="48" customHeight="1" s="10">
      <c r="A51" s="4" t="inlineStr">
        <is>
          <t>題庫：練過口說</t>
        </is>
      </c>
      <c r="B51" s="4" t="inlineStr">
        <is>
          <t>14</t>
        </is>
      </c>
      <c r="C51" s="4" t="inlineStr">
        <is>
          <t>同樣十四題，被連續追問時講得出來了沒。</t>
        </is>
      </c>
    </row>
    <row r="52" ht="48" customHeight="1" s="10">
      <c r="A52" s="4" t="inlineStr">
        <is>
          <t>開場與框架練習</t>
        </is>
      </c>
      <c r="B52" s="4" t="inlineStr">
        <is>
          <t>6</t>
        </is>
      </c>
      <c r="C52" s="4" t="inlineStr">
        <is>
          <t>一分鐘說明、為什麼是你、五個情境與五則新聞練過了沒。</t>
        </is>
      </c>
    </row>
    <row r="53" ht="48" customHeight="1" s="10">
      <c r="A53" s="4" t="inlineStr">
        <is>
          <t>面對不會的問題</t>
        </is>
      </c>
      <c r="B53" s="4" t="inlineStr">
        <is>
          <t>5</t>
        </is>
      </c>
      <c r="C53" s="4" t="inlineStr">
        <is>
          <t>五步演練過了沒，有沒有硬答或直接卡住。</t>
        </is>
      </c>
    </row>
    <row r="54" ht="48" customHeight="1" s="10">
      <c r="A54" s="4" t="inlineStr">
        <is>
          <t>上場前檢核</t>
        </is>
      </c>
      <c r="B54" s="4" t="inlineStr">
        <is>
          <t>7</t>
        </is>
      </c>
      <c r="C54" s="4" t="inlineStr">
        <is>
          <t>最後那道閘門。這七項沒到就還不能上場。</t>
        </is>
      </c>
    </row>
    <row r="55" ht="48" customHeight="1" s="10">
      <c r="A55" s="4" t="inlineStr">
        <is>
          <t>常見失分點</t>
        </is>
      </c>
      <c r="B55" s="4" t="inlineStr">
        <is>
          <t>6</t>
        </is>
      </c>
      <c r="C55" s="4" t="inlineStr">
        <is>
          <t>有沒有踩到最常見的六個失分回答。</t>
        </is>
      </c>
    </row>
    <row r="56" ht="40" customHeight="1" s="10"/>
    <row r="57" ht="24" customHeight="1" s="10">
      <c r="A57" s="1" t="inlineStr">
        <is>
          <t>什麼情況才算 ✓</t>
        </is>
      </c>
    </row>
    <row r="58" ht="32" customHeight="1" s="10">
      <c r="A58" s="16" t="inlineStr">
        <is>
          <t>打勾之前先問自己一句：如果現在有人要我當場講，我講得出來嗎。講得出來才算 ✓，覺得「應該會吧」不算。</t>
        </is>
      </c>
    </row>
    <row r="59" ht="32" customHeight="1" s="10">
      <c r="A59" s="16" t="inlineStr">
        <is>
          <t>這張表只有你自己會看。寬鬆給分唯一的效果，是讓你在口試現場才發現缺口。留白不是失敗，留白就是你接下來的工作清單。</t>
        </is>
      </c>
    </row>
    <row r="60" ht="32" customHeight="1" s="10">
      <c r="A60" s="17" t="inlineStr">
        <is>
          <t>「常見失分點」那一區的語意是相反的：✓ 代表「我確認自己不會這樣答」。表頭上有標。</t>
        </is>
      </c>
    </row>
    <row r="61" ht="40" customHeight="1" s="10"/>
    <row r="62" ht="24" customHeight="1" s="10">
      <c r="A62" s="1" t="inlineStr">
        <is>
          <t>結果怎麼看</t>
        </is>
      </c>
    </row>
    <row r="63" ht="26" customHeight="1" s="10">
      <c r="A63" s="3" t="inlineStr">
        <is>
          <t>你看到的</t>
        </is>
      </c>
      <c r="B63" s="3" t="inlineStr">
        <is>
          <t>代表什麼</t>
        </is>
      </c>
      <c r="C63" s="3" t="inlineStr">
        <is>
          <t>接下來</t>
        </is>
      </c>
    </row>
    <row r="64" ht="48" customHeight="1" s="10">
      <c r="A64" s="4" t="inlineStr">
        <is>
          <t>幾乎全空</t>
        </is>
      </c>
      <c r="B64" s="4" t="inlineStr">
        <is>
          <t>這不是壞消息，這是你現在的起點。</t>
        </is>
      </c>
      <c r="C64" s="4" t="inlineStr">
        <is>
          <t>從「上場前檢核」那七項往回推，一項對應一件要做的事。</t>
        </is>
      </c>
    </row>
    <row r="65" ht="48" customHeight="1" s="10">
      <c r="A65" s="4" t="inlineStr">
        <is>
          <t>寫出答案滿了，練過口說很空</t>
        </is>
      </c>
      <c r="B65" s="4" t="inlineStr">
        <is>
          <t>你想通了，但還沒被連續追問過。</t>
        </is>
      </c>
      <c r="C65" s="4" t="inlineStr">
        <is>
          <t>找學長姐、同學或顧問扮演口試委員，四類題型各連問幾輪。</t>
        </is>
      </c>
    </row>
    <row r="66" ht="48" customHeight="1" s="10">
      <c r="A66" s="4" t="inlineStr">
        <is>
          <t>財經時事那三題空著</t>
        </is>
      </c>
      <c r="B66" s="4" t="inlineStr">
        <is>
          <t>這一類靠長期累積，臨時抱佛腳會露餡。</t>
        </is>
      </c>
      <c r="C66" s="4" t="inlineStr">
        <is>
          <t>每週固定一小時，針對幾條主線累積觀點，用框架練習寫三行分析。</t>
        </is>
      </c>
    </row>
    <row r="67" ht="48" customHeight="1" s="10">
      <c r="A67" s="4" t="inlineStr">
        <is>
          <t>個案與情境那四題空著</t>
        </is>
      </c>
      <c r="B67" s="4" t="inlineStr">
        <is>
          <t>沒有框架的人講到哪算哪。</t>
        </is>
      </c>
      <c r="C67" s="4" t="inlineStr">
        <is>
          <t>找同學互相出題，用真實企業的近況當素材，重點是結構清楚、講得完。</t>
        </is>
      </c>
    </row>
    <row r="68" ht="32" customHeight="1" s="10">
      <c r="A68" s="4" t="inlineStr">
        <is>
          <t>上場前檢核沒滿</t>
        </is>
      </c>
      <c r="B68" s="4" t="inlineStr">
        <is>
          <t>還不能上場。</t>
        </is>
      </c>
      <c r="C68" s="4" t="inlineStr">
        <is>
          <t>先補那七項，其他區暫時放著。</t>
        </is>
      </c>
    </row>
    <row r="69" ht="48" customHeight="1" s="10">
      <c r="A69" s="4" t="inlineStr">
        <is>
          <t>57 項全滿</t>
        </is>
      </c>
      <c r="B69" s="4" t="inlineStr">
        <is>
          <t>準備到位了。</t>
        </is>
      </c>
      <c r="C69" s="4" t="inlineStr">
        <is>
          <t>口試前一天再對著人講一次一分鐘版本，計時。</t>
        </is>
      </c>
    </row>
    <row r="70" ht="40" customHeight="1" s="10"/>
    <row r="71" ht="24" customHeight="1" s="10">
      <c r="A71" s="1" t="inlineStr">
        <is>
          <t>沒打勾的，去哪裡補</t>
        </is>
      </c>
    </row>
    <row r="72" ht="26" customHeight="1" s="10">
      <c r="A72" s="3" t="inlineStr">
        <is>
          <t>缺的是</t>
        </is>
      </c>
      <c r="B72" s="3" t="inlineStr">
        <is>
          <t>去哪裡補</t>
        </is>
      </c>
      <c r="C72" s="3" t="inlineStr">
        <is>
          <t>要補成什麼樣子</t>
        </is>
      </c>
    </row>
    <row r="73" ht="48" customHeight="1" s="10">
      <c r="A73" s="4" t="inlineStr">
        <is>
          <t>某一題寫不出答案</t>
        </is>
      </c>
      <c r="B73" s="4" t="inlineStr">
        <is>
          <t>回研究計畫本身</t>
        </is>
      </c>
      <c r="C73" s="4" t="inlineStr">
        <is>
          <t>那題就是你目前最大的風險。先想通，再寫要點，不要硬背。</t>
        </is>
      </c>
    </row>
    <row r="74" ht="48" customHeight="1" s="10">
      <c r="A74" s="4" t="inlineStr">
        <is>
          <t>一分鐘講不完研究問題</t>
        </is>
      </c>
      <c r="B74" s="4" t="inlineStr">
        <is>
          <t>一分鐘說明的骨架</t>
        </is>
      </c>
      <c r="C74" s="4" t="inlineStr">
        <is>
          <t>研究什麼問題、為什麼重要、打算怎麼做，三段各給秒數，計時練到不用看稿。</t>
        </is>
      </c>
    </row>
    <row r="75" ht="70" customHeight="1" s="10">
      <c r="A75" s="4" t="inlineStr">
        <is>
          <t>「為什麼是你」答得空泛</t>
        </is>
      </c>
      <c r="B75" s="4" t="inlineStr">
        <is>
          <t>題庫必考題</t>
        </is>
      </c>
      <c r="C75" s="4" t="inlineStr">
        <is>
          <t>「我在某段經歷中處理過什麼問題，所以想在這裡繼續研究什麼」，不是「我很有熱忱」。</t>
        </is>
      </c>
    </row>
    <row r="76" ht="48" customHeight="1" s="10">
      <c r="A76" s="4" t="inlineStr">
        <is>
          <t>資料從哪裡來答不出</t>
        </is>
      </c>
      <c r="B76" s="4" t="inlineStr">
        <is>
          <t>題庫研究計畫第三題</t>
        </is>
      </c>
      <c r="C76" s="4" t="inlineStr">
        <is>
          <t>來源、取得管道、拿不到時的替代方案，三件都要有。</t>
        </is>
      </c>
    </row>
    <row r="77" ht="48" customHeight="1" s="10">
      <c r="A77" s="4" t="inlineStr">
        <is>
          <t>專業概念只會背定義</t>
        </is>
      </c>
      <c r="B77" s="4" t="inlineStr">
        <is>
          <t>題庫專業知識</t>
        </is>
      </c>
      <c r="C77" s="4" t="inlineStr">
        <is>
          <t>目標系所核心課程的基本概念，各用自己的話三句話解釋一遍。</t>
        </is>
      </c>
    </row>
    <row r="78" ht="70" customHeight="1" s="10">
      <c r="A78" s="4" t="inlineStr">
        <is>
          <t>時事只能複述標題</t>
        </is>
      </c>
      <c r="B78" s="4" t="inlineStr">
        <is>
          <t>題庫與素材第三節</t>
        </is>
      </c>
      <c r="C78" s="4" t="inlineStr">
        <is>
          <t>五則新聞各用「事件背景→影響機制→利害關係人→短中長期影響→個人判斷」講一次，錄下來聽。</t>
        </is>
      </c>
    </row>
    <row r="79" ht="48" customHeight="1" s="10">
      <c r="A79" s="4" t="inlineStr">
        <is>
          <t>個案題講到哪算哪</t>
        </is>
      </c>
      <c r="B79" s="4" t="inlineStr">
        <is>
          <t>題庫與素材第三節</t>
        </is>
      </c>
      <c r="C79" s="4" t="inlineStr">
        <is>
          <t>五個情境各用「定義問題→分析架構→判斷依據→結論與限制」講一次。</t>
        </is>
      </c>
    </row>
    <row r="80" ht="48" customHeight="1" s="10">
      <c r="A80" s="4" t="inlineStr">
        <is>
          <t>被問不會的就硬答</t>
        </is>
      </c>
      <c r="B80" s="4" t="inlineStr">
        <is>
          <t>題庫與素材第四節</t>
        </is>
      </c>
      <c r="C80" s="4" t="inlineStr">
        <is>
          <t>確認範圍、說明掌握的部分、提出邏輯、坦白限制、查證方式。演練過一次。</t>
        </is>
      </c>
    </row>
    <row r="81" ht="42" customHeight="1" s="10">
      <c r="A81" s="11" t="inlineStr">
        <is>
          <t>要寫成完整答案的部分寫在你自己的筆記裡，這裡只負責告訴你缺什麼。</t>
        </is>
      </c>
    </row>
    <row r="82" ht="40" customHeight="1" s="10"/>
    <row r="83" ht="24" customHeight="1" s="10">
      <c r="A83" s="1" t="inlineStr">
        <is>
          <t>卡關時</t>
        </is>
      </c>
    </row>
    <row r="84" ht="26" customHeight="1" s="10">
      <c r="A84" s="3" t="inlineStr">
        <is>
          <t>狀況</t>
        </is>
      </c>
      <c r="B84" s="3" t="inlineStr">
        <is>
          <t>怎麼辦</t>
        </is>
      </c>
    </row>
    <row r="85" ht="88" customHeight="1" s="10">
      <c r="A85" s="4" t="inlineStr">
        <is>
          <t>口試會直接考專業科目嗎</t>
        </is>
      </c>
      <c r="B85" s="4" t="inlineStr">
        <is>
          <t>會，而且很常見。經濟學、統計與研究方法、財務管理、會計、管理學、行銷、資管的基本概念都可能被抽問，通常不會太深，但要答得清楚且不心虛。把核心概念用自己的話講一遍，教授要確認的是你理解，不是你記得。</t>
        </is>
      </c>
    </row>
    <row r="86" ht="88" customHeight="1" s="10">
      <c r="A86" s="4" t="inlineStr">
        <is>
          <t>財經時事要準備到什麼程度</t>
        </is>
      </c>
      <c r="B86" s="4" t="inlineStr">
        <is>
          <t>不需要什麼都知道，但要有固定追蹤與自己的分析框架。針對利率、匯率、通膨、產業趨勢、ESG、AI 與數位轉型、國際經貿這幾條主線各累積一點觀點。被問到時用框架回答，比背新聞細節有用。</t>
        </is>
      </c>
    </row>
    <row r="87" ht="88" customHeight="1" s="10">
      <c r="A87" s="4" t="inlineStr">
        <is>
          <t>遇到完全沒想過的個案題，該怎麼開口</t>
        </is>
      </c>
      <c r="B87" s="4" t="inlineStr">
        <is>
          <t>不要急著給答案，先確認問題範圍再提出分析架構。「我想先確認一下，這家公司目前主要的挑戰是在市場面還是營運面？」再用框架把思路攤開。教授要看的是分析邏輯，不是標準答案。</t>
        </is>
      </c>
    </row>
    <row r="88" ht="88" customHeight="1" s="10">
      <c r="A88" s="4" t="inlineStr">
        <is>
          <t>練習時同學都說很好</t>
        </is>
      </c>
      <c r="B88" s="4" t="inlineStr">
        <is>
          <t>同溫層聽不出你哪裡跳過了解釋。至少找一個不熟悉你題目的人，讓他從研究計畫跳到時事再跳到個案，被打斷時還能維持邏輯才算練過。</t>
        </is>
      </c>
    </row>
    <row r="89" ht="88" customHeight="1" s="10">
      <c r="A89" s="4" t="inlineStr">
        <is>
          <t>兩次打出來的數字一樣</t>
        </is>
      </c>
      <c r="B89" s="4" t="inlineStr">
        <is>
          <t>檢查一下是不是這段時間都在讀計畫、沒有找人練，也沒有固定看時事。讀得再熟，沒被追問過的題目還是空的。</t>
        </is>
      </c>
    </row>
    <row r="90" ht="40" customHeight="1" s="10"/>
    <row r="91" ht="14" customHeight="1" s="10"/>
    <row r="92" ht="28" customHeight="1" s="10">
      <c r="A92" s="5" t="inlineStr">
        <is>
          <t># 搭配文章：商管與財經研究所口試：研究計畫答辯、專業科目與個案時事怎麼答　https://tbd-edu.com/pages/resources/business-graduate-oral.html</t>
        </is>
      </c>
    </row>
    <row r="93" ht="28" customHeight="1" s="10">
      <c r="A93" s="5" t="inlineStr">
        <is>
          <t># TBD Studio ｜ https://tbd-edu.com/</t>
        </is>
      </c>
    </row>
  </sheetData>
  <mergeCells count="10">
    <mergeCell ref="A60:C60"/>
    <mergeCell ref="A11:C11"/>
    <mergeCell ref="A31:C31"/>
    <mergeCell ref="A58:C58"/>
    <mergeCell ref="A18:C18"/>
    <mergeCell ref="A21:C21"/>
    <mergeCell ref="A12:C12"/>
    <mergeCell ref="A59:C59"/>
    <mergeCell ref="A81:C8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zoomScale="75" workbookViewId="0">
      <pane ySplit="2" topLeftCell="A39" activePane="bottomLeft" state="frozen"/>
      <selection pane="bottomLeft" activeCell="A47" sqref="A47:XFD47"/>
    </sheetView>
  </sheetViews>
  <sheetFormatPr baseColWidth="10" defaultColWidth="9" defaultRowHeight="14"/>
  <cols>
    <col width="33.796875" customWidth="1" style="10" min="1" max="1"/>
    <col width="98.19921875" customWidth="1" style="10" min="2" max="2"/>
    <col width="43.59765625" customWidth="1" style="10" min="3" max="3"/>
    <col width="30" customWidth="1" style="10" min="4" max="4"/>
    <col width="17.3984375" customWidth="1" style="10" min="5" max="5"/>
    <col width="12" customWidth="1" style="10" min="6" max="6"/>
  </cols>
  <sheetData>
    <row r="1" ht="30" customHeight="1" s="10">
      <c r="A1" s="2" t="inlineStr">
        <is>
          <t>商管與財經｜口試自我檢核表　v1</t>
        </is>
      </c>
    </row>
    <row r="2" ht="28" customHeight="1" s="10">
      <c r="A2" s="15" t="inlineStr">
        <is>
          <t>先寫答案要點，再練口說。每題兩個勾：寫出答案了、練過口說了。判準見「先讀這裡」分頁。淡黃色的儲存格是要你填或勾的，其餘是給你讀的。</t>
        </is>
      </c>
    </row>
    <row r="3" ht="40" customHeight="1" s="10"/>
    <row r="4" ht="24" customHeight="1" s="10">
      <c r="A4" s="1" t="inlineStr">
        <is>
          <t>一、四類題型題庫（14 題）</t>
        </is>
      </c>
    </row>
    <row r="5" ht="26" customHeight="1" s="10">
      <c r="A5" s="3" t="inlineStr">
        <is>
          <t>類別</t>
        </is>
      </c>
      <c r="B5" s="3" t="inlineStr">
        <is>
          <t>題目</t>
        </is>
      </c>
      <c r="C5" s="3" t="inlineStr">
        <is>
          <t>我的內容</t>
        </is>
      </c>
      <c r="D5" s="3" t="inlineStr">
        <is>
          <t>寫出答案</t>
        </is>
      </c>
      <c r="E5" s="3" t="inlineStr">
        <is>
          <t>練過口說</t>
        </is>
      </c>
    </row>
    <row r="6" ht="47" customHeight="1" s="10">
      <c r="A6" s="4" t="inlineStr">
        <is>
          <t>研究計畫</t>
        </is>
      </c>
      <c r="B6" s="4" t="inlineStr">
        <is>
          <t>為什麼選這個題目？你的研究問題到底是什麼？</t>
        </is>
      </c>
      <c r="C6" s="6" t="n"/>
      <c r="D6" s="6" t="n"/>
      <c r="E6" s="6" t="n"/>
    </row>
    <row r="7" ht="47" customHeight="1" s="10">
      <c r="A7" s="4" t="inlineStr">
        <is>
          <t>研究計畫</t>
        </is>
      </c>
      <c r="B7" s="4" t="inlineStr">
        <is>
          <t>為什麼選這個理論而不是別的？</t>
        </is>
      </c>
      <c r="C7" s="6" t="n"/>
      <c r="D7" s="6" t="n"/>
      <c r="E7" s="6" t="n"/>
    </row>
    <row r="8" ht="47" customHeight="1" s="10">
      <c r="A8" s="4" t="inlineStr">
        <is>
          <t>研究計畫</t>
        </is>
      </c>
      <c r="B8" s="4" t="inlineStr">
        <is>
          <t>資料從哪裡來、拿得到嗎？</t>
        </is>
      </c>
      <c r="C8" s="6" t="n"/>
      <c r="D8" s="6" t="n"/>
      <c r="E8" s="6" t="n"/>
    </row>
    <row r="9" ht="47" customHeight="1" s="10">
      <c r="A9" s="4" t="inlineStr">
        <is>
          <t>研究計畫</t>
        </is>
      </c>
      <c r="B9" s="4" t="inlineStr">
        <is>
          <t>這個方法有什麼限制？結果不如預期怎麼辦？</t>
        </is>
      </c>
      <c r="C9" s="6" t="n"/>
      <c r="D9" s="6" t="n"/>
      <c r="E9" s="6" t="n"/>
    </row>
    <row r="10" ht="47" customHeight="1" s="10">
      <c r="A10" s="4" t="inlineStr">
        <is>
          <t>專業知識</t>
        </is>
      </c>
      <c r="B10" s="4" t="inlineStr">
        <is>
          <t>經濟學核心概念，能用自己的話解釋嗎？</t>
        </is>
      </c>
      <c r="C10" s="6" t="n"/>
      <c r="D10" s="6" t="n"/>
      <c r="E10" s="6" t="n"/>
    </row>
    <row r="11" ht="47" customHeight="1" s="10">
      <c r="A11" s="4" t="inlineStr">
        <is>
          <t>專業知識</t>
        </is>
      </c>
      <c r="B11" s="4" t="inlineStr">
        <is>
          <t>統計與研究方法（假設檢定、迴歸、抽樣），能講清楚嗎？</t>
        </is>
      </c>
      <c r="C11" s="6" t="n"/>
      <c r="D11" s="6" t="n"/>
      <c r="E11" s="6" t="n"/>
    </row>
    <row r="12" ht="47" customHeight="1" s="10">
      <c r="A12" s="4" t="inlineStr">
        <is>
          <t>專業知識</t>
        </is>
      </c>
      <c r="B12" s="4" t="inlineStr">
        <is>
          <t>財務管理／會計／管理學／行銷／資管的基本概念，各能用三句話說明嗎？</t>
        </is>
      </c>
      <c r="C12" s="6" t="n"/>
      <c r="D12" s="6" t="n"/>
      <c r="E12" s="6" t="n"/>
    </row>
    <row r="13" ht="47" customHeight="1" s="10">
      <c r="A13" s="4" t="inlineStr">
        <is>
          <t>財經時事</t>
        </is>
      </c>
      <c r="B13" s="4" t="inlineStr">
        <is>
          <t>利率、匯率、通膨的傳導機制，能說明嗎？</t>
        </is>
      </c>
      <c r="C13" s="6" t="n"/>
      <c r="D13" s="6" t="n"/>
      <c r="E13" s="6" t="n"/>
    </row>
    <row r="14" ht="47" customHeight="1" s="10">
      <c r="A14" s="4" t="inlineStr">
        <is>
          <t>財經時事</t>
        </is>
      </c>
      <c r="B14" s="4" t="inlineStr">
        <is>
          <t>你關注的產業近況與趨勢，講得出自己的判斷嗎？</t>
        </is>
      </c>
      <c r="C14" s="6" t="n"/>
      <c r="D14" s="6" t="n"/>
      <c r="E14" s="6" t="n"/>
    </row>
    <row r="15" ht="47" customHeight="1" s="10">
      <c r="A15" s="4" t="inlineStr">
        <is>
          <t>財經時事</t>
        </is>
      </c>
      <c r="B15" s="4" t="inlineStr">
        <is>
          <t>ESG、AI 與數位轉型、國際經貿事件，各有一組觀點嗎？</t>
        </is>
      </c>
      <c r="C15" s="6" t="n"/>
      <c r="D15" s="6" t="n"/>
      <c r="E15" s="6" t="n"/>
    </row>
    <row r="16" ht="47" customHeight="1" s="10">
      <c r="A16" s="4" t="inlineStr">
        <is>
          <t>個案與情境題</t>
        </is>
      </c>
      <c r="B16" s="4" t="inlineStr">
        <is>
          <t>如何分析一家公司？</t>
        </is>
      </c>
      <c r="C16" s="6" t="n"/>
      <c r="D16" s="6" t="n"/>
      <c r="E16" s="6" t="n"/>
    </row>
    <row r="17" ht="47" customHeight="1" s="10">
      <c r="A17" s="4" t="inlineStr">
        <is>
          <t>個案與情境題</t>
        </is>
      </c>
      <c r="B17" s="4" t="inlineStr">
        <is>
          <t>如何判斷某個市場策略的好壞？</t>
        </is>
      </c>
      <c r="C17" s="6" t="n"/>
      <c r="D17" s="6" t="n"/>
      <c r="E17" s="6" t="n"/>
    </row>
    <row r="18" ht="47" customHeight="1" s="10">
      <c r="A18" s="4" t="inlineStr">
        <is>
          <t>個案與情境題</t>
        </is>
      </c>
      <c r="B18" s="4" t="inlineStr">
        <is>
          <t>團隊發生衝突你會怎麼處理？</t>
        </is>
      </c>
      <c r="C18" s="6" t="n"/>
      <c r="D18" s="6" t="n"/>
      <c r="E18" s="6" t="n"/>
    </row>
    <row r="19" ht="47" customHeight="1" s="10">
      <c r="A19" s="4" t="inlineStr">
        <is>
          <t>個案與情境題</t>
        </is>
      </c>
      <c r="B19" s="4" t="inlineStr">
        <is>
          <t>某項商業決策該不該做？怎麼評估並提出建議？</t>
        </is>
      </c>
      <c r="C19" s="6" t="n"/>
      <c r="D19" s="6" t="n"/>
      <c r="E19" s="6" t="n"/>
    </row>
    <row r="20" ht="42" customHeight="1" s="10">
      <c r="A20" s="11" t="inlineStr">
        <is>
          <t>四類之外還有一組幾乎必考：為什麼選這個系所？為什麼是你？未來想做什麼？答案必須和備審與研究計畫講的是同一個故事，填在第二節。</t>
        </is>
      </c>
    </row>
    <row r="21" ht="40" customHeight="1" s="10"/>
    <row r="22" ht="24" customHeight="1" s="10">
      <c r="A22" s="1" t="inlineStr">
        <is>
          <t>二、一分鐘說明與必考題</t>
        </is>
      </c>
    </row>
    <row r="23" ht="26" customHeight="1" s="10">
      <c r="A23" s="3" t="inlineStr">
        <is>
          <t>題目</t>
        </is>
      </c>
      <c r="B23" s="3" t="inlineStr">
        <is>
          <t>要講什麼</t>
        </is>
      </c>
      <c r="C23" s="3" t="inlineStr">
        <is>
          <t>我的內容</t>
        </is>
      </c>
    </row>
    <row r="24" ht="34" customHeight="1" s="10">
      <c r="A24" s="4" t="inlineStr">
        <is>
          <t>一分鐘研究計畫說明</t>
        </is>
      </c>
      <c r="B24" s="4" t="inlineStr">
        <is>
          <t>研究什麼問題、為什麼重要、打算怎麼做</t>
        </is>
      </c>
      <c r="C24" s="6" t="n"/>
    </row>
    <row r="25" ht="34" customHeight="1" s="10">
      <c r="A25" s="4" t="inlineStr">
        <is>
          <t>為什麼選這個系所</t>
        </is>
      </c>
      <c r="B25" s="4" t="inlineStr">
        <is>
          <t>具體到課程、教授、資源，不是排名</t>
        </is>
      </c>
      <c r="C25" s="6" t="n"/>
    </row>
    <row r="26" ht="34" customHeight="1" s="10">
      <c r="A26" s="4" t="inlineStr">
        <is>
          <t>為什麼是你</t>
        </is>
      </c>
      <c r="B26" s="4" t="inlineStr">
        <is>
          <t>「我在某段經歷中處理過什麼問題，所以想在這裡繼續研究什麼」</t>
        </is>
      </c>
      <c r="C26" s="6" t="n"/>
    </row>
    <row r="27" ht="34" customHeight="1" s="10">
      <c r="A27" s="4" t="inlineStr">
        <is>
          <t>未來想做什麼</t>
        </is>
      </c>
      <c r="B27" s="4" t="inlineStr">
        <is>
          <t>和研究計畫的方向接得上</t>
        </is>
      </c>
      <c r="C27" s="6" t="n"/>
    </row>
    <row r="28" ht="42" customHeight="1" s="10">
      <c r="A28" s="11" t="inlineStr">
        <is>
          <t>一分鐘說明是整場口試的地基，後面的追問幾乎都從這裡延伸。「為什麼是你」幾乎必考，也是最容易答得空泛的一題。</t>
        </is>
      </c>
    </row>
    <row r="29" ht="40" customHeight="1" s="10"/>
    <row r="30" ht="24" customHeight="1" s="10">
      <c r="A30" s="1" t="inlineStr">
        <is>
          <t>三、框架練習：五個情境、五則新聞</t>
        </is>
      </c>
    </row>
    <row r="31" ht="48" customHeight="1" s="10">
      <c r="A31" s="18" t="inlineStr">
        <is>
          <r>
            <rPr>
              <rFont val="Microsoft JhengHei"/>
              <charset val="136"/>
              <family val="2"/>
              <sz val="16"/>
            </rPr>
            <t>個案與情境題：定義問題</t>
          </r>
          <r>
            <rPr>
              <rFont val="Arial"/>
              <family val="2"/>
              <sz val="16"/>
            </rPr>
            <t xml:space="preserve"> → </t>
          </r>
          <r>
            <rPr>
              <rFont val="Microsoft JhengHei"/>
              <charset val="136"/>
              <family val="2"/>
              <sz val="16"/>
            </rPr>
            <t>提出分析架構</t>
          </r>
          <r>
            <rPr>
              <rFont val="Arial"/>
              <family val="2"/>
              <sz val="16"/>
            </rPr>
            <t xml:space="preserve"> → </t>
          </r>
          <r>
            <rPr>
              <rFont val="Microsoft JhengHei"/>
              <charset val="136"/>
              <family val="2"/>
              <sz val="16"/>
            </rPr>
            <t>說明判斷依據</t>
          </r>
          <r>
            <rPr>
              <rFont val="Arial"/>
              <family val="2"/>
              <sz val="16"/>
            </rPr>
            <t xml:space="preserve"> → </t>
          </r>
          <r>
            <rPr>
              <rFont val="Microsoft JhengHei"/>
              <charset val="136"/>
              <family val="2"/>
              <sz val="16"/>
            </rPr>
            <t>提出結論與限制。
財經時事題：事件背景</t>
          </r>
          <r>
            <rPr>
              <rFont val="Arial"/>
              <family val="2"/>
              <sz val="16"/>
            </rPr>
            <t xml:space="preserve"> → </t>
          </r>
          <r>
            <rPr>
              <rFont val="Microsoft JhengHei"/>
              <charset val="136"/>
              <family val="2"/>
              <sz val="16"/>
            </rPr>
            <t>影響機制</t>
          </r>
          <r>
            <rPr>
              <rFont val="Arial"/>
              <family val="2"/>
              <sz val="16"/>
            </rPr>
            <t xml:space="preserve"> → </t>
          </r>
          <r>
            <rPr>
              <rFont val="Microsoft JhengHei"/>
              <charset val="136"/>
              <family val="2"/>
              <sz val="16"/>
            </rPr>
            <t>利害關係人</t>
          </r>
          <r>
            <rPr>
              <rFont val="Arial"/>
              <family val="2"/>
              <sz val="16"/>
            </rPr>
            <t xml:space="preserve"> → </t>
          </r>
          <r>
            <rPr>
              <rFont val="Microsoft JhengHei"/>
              <charset val="136"/>
              <family val="2"/>
              <sz val="16"/>
            </rPr>
            <t>短中長期影響</t>
          </r>
          <r>
            <rPr>
              <rFont val="Arial"/>
              <family val="2"/>
              <sz val="16"/>
            </rPr>
            <t xml:space="preserve"> → </t>
          </r>
          <r>
            <rPr>
              <rFont val="Microsoft JhengHei"/>
              <charset val="136"/>
              <family val="2"/>
              <sz val="16"/>
            </rPr>
            <t>個人判斷。</t>
          </r>
        </is>
      </c>
    </row>
    <row r="32" ht="26" customHeight="1" s="10">
      <c r="A32" s="3" t="inlineStr">
        <is>
          <t>編號</t>
        </is>
      </c>
      <c r="B32" s="3" t="inlineStr">
        <is>
          <t>企業情境（用真實企業近況）</t>
        </is>
      </c>
      <c r="C32" s="3" t="inlineStr">
        <is>
          <t>財經新聞（近期）</t>
        </is>
      </c>
      <c r="D32" s="3" t="inlineStr">
        <is>
          <t>練過並錄下來聽</t>
        </is>
      </c>
    </row>
    <row r="33" ht="32" customHeight="1" s="10">
      <c r="A33" s="4" t="inlineStr">
        <is>
          <t>1</t>
        </is>
      </c>
      <c r="B33" s="6" t="n"/>
      <c r="C33" s="6" t="n"/>
      <c r="D33" s="6" t="n"/>
    </row>
    <row r="34" ht="32" customHeight="1" s="10">
      <c r="A34" s="4" t="inlineStr">
        <is>
          <t>2</t>
        </is>
      </c>
      <c r="B34" s="6" t="n"/>
      <c r="C34" s="6" t="n"/>
      <c r="D34" s="6" t="n"/>
    </row>
    <row r="35" ht="32" customHeight="1" s="10">
      <c r="A35" s="4" t="inlineStr">
        <is>
          <t>3</t>
        </is>
      </c>
      <c r="B35" s="6" t="n"/>
      <c r="C35" s="6" t="n"/>
      <c r="D35" s="6" t="n"/>
    </row>
    <row r="36" ht="32" customHeight="1" s="10">
      <c r="A36" s="4" t="inlineStr">
        <is>
          <t>4</t>
        </is>
      </c>
      <c r="B36" s="6" t="n"/>
      <c r="C36" s="6" t="n"/>
      <c r="D36" s="6" t="n"/>
    </row>
    <row r="37" ht="32" customHeight="1" s="10">
      <c r="A37" s="4" t="inlineStr">
        <is>
          <t>5</t>
        </is>
      </c>
      <c r="B37" s="6" t="n"/>
      <c r="C37" s="6" t="n"/>
      <c r="D37" s="6" t="n"/>
    </row>
    <row r="38" ht="42" customHeight="1" s="10">
      <c r="A38" s="11" t="inlineStr">
        <is>
          <t>前兩次會很卡，第五次就會順很多。重點不是答案正確，而是結構清楚、講得完。</t>
        </is>
      </c>
    </row>
    <row r="39" ht="40" customHeight="1" s="10"/>
    <row r="40" ht="24" customHeight="1" s="10">
      <c r="A40" s="1" t="inlineStr">
        <is>
          <t>四、面對不會的問題：五步</t>
        </is>
      </c>
    </row>
    <row r="41" ht="26" customHeight="1" s="10">
      <c r="A41" s="3" t="inlineStr">
        <is>
          <t>步驟</t>
        </is>
      </c>
      <c r="B41" s="3" t="inlineStr">
        <is>
          <t>這一步要做什麼</t>
        </is>
      </c>
      <c r="C41" s="3" t="inlineStr">
        <is>
          <t>我的內容</t>
        </is>
      </c>
    </row>
    <row r="42" ht="32" customHeight="1" s="10">
      <c r="A42" s="4" t="inlineStr">
        <is>
          <t>1 先確認問題範圍</t>
        </is>
      </c>
      <c r="B42" s="4" t="inlineStr">
        <is>
          <t>適度反問，確認教授問的是哪一個層面</t>
        </is>
      </c>
      <c r="C42" s="6" t="n"/>
    </row>
    <row r="43" ht="32" customHeight="1" s="10">
      <c r="A43" s="4" t="inlineStr">
        <is>
          <t>2 說明目前掌握的部分</t>
        </is>
      </c>
      <c r="B43" s="4" t="inlineStr">
        <is>
          <t>相關概念或事實先講出來</t>
        </is>
      </c>
      <c r="C43" s="6" t="n"/>
    </row>
    <row r="44" ht="32" customHeight="1" s="10">
      <c r="A44" s="4" t="inlineStr">
        <is>
          <t>3 提出分析邏輯</t>
        </is>
      </c>
      <c r="B44" s="4" t="inlineStr">
        <is>
          <t>如果要回答這題，我會從哪幾個角度看</t>
        </is>
      </c>
      <c r="C44" s="6" t="n"/>
    </row>
    <row r="45" ht="32" customHeight="1" s="10">
      <c r="A45" s="4" t="inlineStr">
        <is>
          <t>4 坦白限制</t>
        </is>
      </c>
      <c r="B45" s="4" t="inlineStr">
        <is>
          <t>明確說出你的了解到哪裡為止</t>
        </is>
      </c>
      <c r="C45" s="6" t="n"/>
    </row>
    <row r="46" ht="32" customHeight="1" s="10">
      <c r="A46" s="4" t="inlineStr">
        <is>
          <t>5 提出後續查證方式</t>
        </is>
      </c>
      <c r="B46" s="4" t="inlineStr">
        <is>
          <t>你會去看什麼資料、用什麼方法確認</t>
        </is>
      </c>
      <c r="C46" s="6" t="n"/>
    </row>
    <row r="47" ht="42" customHeight="1" s="10">
      <c r="A47" s="11" t="inlineStr">
        <is>
          <t>拿題庫裡你最沒把握的一題，照五步寫一次自己的版本。寫過才講得出來。</t>
        </is>
      </c>
    </row>
    <row r="48" ht="40" customHeight="1" s="10"/>
    <row r="49" ht="42" customHeight="1" s="10">
      <c r="A49" s="11" t="inlineStr">
        <is>
          <t>填完切到「檢核表」分頁。</t>
        </is>
      </c>
    </row>
    <row r="50" ht="14" customHeight="1" s="10"/>
    <row r="51" ht="28" customHeight="1" s="10">
      <c r="A51" s="5" t="inlineStr">
        <is>
          <t># 搭配文章：商管與財經研究所口試：研究計畫答辯、專業科目與個案時事怎麼答　https://tbd-edu.com/pages/resources/business-graduate-oral.html</t>
        </is>
      </c>
    </row>
    <row r="52" ht="28" customHeight="1" s="10">
      <c r="A52" s="5" t="inlineStr">
        <is>
          <t># TBD Studio ｜ https://tbd-edu.com/</t>
        </is>
      </c>
    </row>
  </sheetData>
  <mergeCells count="7">
    <mergeCell ref="A20:E20"/>
    <mergeCell ref="A38:E38"/>
    <mergeCell ref="A2:E2"/>
    <mergeCell ref="A28:E28"/>
    <mergeCell ref="A49:E49"/>
    <mergeCell ref="A47:E47"/>
    <mergeCell ref="A31:E31"/>
  </mergeCells>
  <dataValidations count="1">
    <dataValidation sqref="D6:E19 D33:D37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zoomScale="75" workbookViewId="0">
      <pane ySplit="2" topLeftCell="A30" activePane="bottomLeft" state="frozen"/>
      <selection pane="bottomLeft" activeCell="A32" sqref="A32:XFD32"/>
    </sheetView>
  </sheetViews>
  <sheetFormatPr baseColWidth="10" defaultColWidth="9" defaultRowHeight="14"/>
  <cols>
    <col width="95.796875" customWidth="1" style="10" min="1" max="1"/>
    <col width="17.3984375" customWidth="1" style="10" min="2" max="2"/>
    <col width="96" customWidth="1" style="10" min="3" max="3"/>
    <col width="12" customWidth="1" style="10" min="4" max="6"/>
  </cols>
  <sheetData>
    <row r="1" ht="30" customHeight="1" s="10">
      <c r="A1" s="2" t="inlineStr">
        <is>
          <t>商管與財經｜口試自我檢核表　v1</t>
        </is>
      </c>
    </row>
    <row r="2" ht="28" customHeight="1" s="10">
      <c r="A2" s="15" t="inlineStr">
        <is>
          <t>4 區共 24 項。當場講得出來才打 ✓，「應該會吧」留白。判準見「先讀這裡」分頁。淡黃色的儲存格是要你填或勾的，其餘是給你讀的。</t>
        </is>
      </c>
    </row>
    <row r="3" ht="40" customHeight="1" s="10"/>
    <row r="4" ht="24" customHeight="1" s="10">
      <c r="A4" s="1" t="inlineStr">
        <is>
          <t>第 1 區　開場與框架練習（6 項）</t>
        </is>
      </c>
    </row>
    <row r="5" ht="26" customHeight="1" s="10">
      <c r="A5" s="3" t="inlineStr">
        <is>
          <t>檢核項目</t>
        </is>
      </c>
      <c r="B5" s="3" t="inlineStr">
        <is>
          <t>確認</t>
        </is>
      </c>
      <c r="C5" s="3" t="inlineStr">
        <is>
          <t>沒打勾的話，下一步</t>
        </is>
      </c>
    </row>
    <row r="6" ht="51" customHeight="1" s="10">
      <c r="A6" s="4" t="inlineStr">
        <is>
          <t>能用一分鐘講清楚研究問題、為什麼重要、打算怎麼做</t>
        </is>
      </c>
      <c r="B6" s="6" t="n"/>
      <c r="C6" s="4" t="inlineStr">
        <is>
          <t>回題庫與素材第二節，先寫要點再計時講。</t>
        </is>
      </c>
    </row>
    <row r="7" ht="51" customHeight="1" s="10">
      <c r="A7" s="4" t="inlineStr">
        <is>
          <t>準備好「為什麼是我」的答案，且能連回具體經歷</t>
        </is>
      </c>
      <c r="B7" s="6" t="n"/>
      <c r="C7" s="4" t="inlineStr">
        <is>
          <t>回題庫與素材第二節第三列。</t>
        </is>
      </c>
    </row>
    <row r="8" ht="51" customHeight="1" s="10">
      <c r="A8" s="4" t="inlineStr">
        <is>
          <t>自我介紹、備審與研究計畫講的是同一個故事</t>
        </is>
      </c>
      <c r="B8" s="6" t="n"/>
      <c r="C8" s="4" t="inlineStr">
        <is>
          <t>三份並排讀一次，為什麼選這個系所、為什麼是你、未來想做什麼要一致。</t>
        </is>
      </c>
    </row>
    <row r="9" ht="51" customHeight="1" s="10">
      <c r="A9" s="4" t="inlineStr">
        <is>
          <t>已用五個真實企業情境各練習一次</t>
        </is>
      </c>
      <c r="B9" s="6" t="n"/>
      <c r="C9" s="4" t="inlineStr">
        <is>
          <t>回題庫與素材第三節，五格都填。</t>
        </is>
      </c>
    </row>
    <row r="10" ht="51" customHeight="1" s="10">
      <c r="A10" s="4" t="inlineStr">
        <is>
          <t>已用五則近期財經新聞各練習一次</t>
        </is>
      </c>
      <c r="B10" s="6" t="n"/>
      <c r="C10" s="4" t="inlineStr">
        <is>
          <t>回題庫與素材第三節，五格都填。</t>
        </is>
      </c>
    </row>
    <row r="11" ht="51" customHeight="1" s="10">
      <c r="A11" s="4" t="inlineStr">
        <is>
          <t>練習時錄下來聽過一次</t>
        </is>
      </c>
      <c r="B11" s="6" t="n"/>
      <c r="C11" s="4" t="inlineStr">
        <is>
          <t>聽自己講一次，卡住的地方比想像中明顯。</t>
        </is>
      </c>
    </row>
    <row r="12" ht="42" customHeight="1" s="10">
      <c r="A12" s="11" t="inlineStr">
        <is>
          <t>框架是支架，不是公式。練過五次的人和沒練過的人，差別非常明顯。</t>
        </is>
      </c>
    </row>
    <row r="13" ht="40" customHeight="1" s="10"/>
    <row r="14" ht="24" customHeight="1" s="10">
      <c r="A14" s="1" t="inlineStr">
        <is>
          <t>第 2 區　面對不會的問題（5 項）</t>
        </is>
      </c>
    </row>
    <row r="15" ht="26" customHeight="1" s="10">
      <c r="A15" s="3" t="inlineStr">
        <is>
          <t>檢核項目</t>
        </is>
      </c>
      <c r="B15" s="3" t="inlineStr">
        <is>
          <t>確認</t>
        </is>
      </c>
      <c r="C15" s="3" t="inlineStr">
        <is>
          <t>沒打勾的話，下一步</t>
        </is>
      </c>
    </row>
    <row r="16" ht="32" customHeight="1" s="10">
      <c r="A16" s="4" t="inlineStr">
        <is>
          <t>練過適度反問確認問題範圍</t>
        </is>
      </c>
      <c r="B16" s="6" t="n"/>
      <c r="C16" s="4" t="inlineStr">
        <is>
          <t>「老師想問的是……還是……？」講得出口，不會慌。</t>
        </is>
      </c>
    </row>
    <row r="17" ht="32" customHeight="1" s="10">
      <c r="A17" s="4" t="inlineStr">
        <is>
          <t>練過先講目前掌握的概念或事實</t>
        </is>
      </c>
      <c r="B17" s="6" t="n"/>
      <c r="C17" s="4" t="inlineStr">
        <is>
          <t>從你知道的部分開始，不要停在「不知道」。</t>
        </is>
      </c>
    </row>
    <row r="18" ht="32" customHeight="1" s="10">
      <c r="A18" s="4" t="inlineStr">
        <is>
          <t>練過提出分析邏輯：會從哪幾個角度看</t>
        </is>
      </c>
      <c r="B18" s="6" t="n"/>
      <c r="C18" s="4" t="inlineStr">
        <is>
          <t>即使沒有答案，也能說明會怎麼拆。</t>
        </is>
      </c>
    </row>
    <row r="19" ht="32" customHeight="1" s="10">
      <c r="A19" s="4" t="inlineStr">
        <is>
          <t>能坦白「我目前的了解到這裡」，並說出會去查什麼資料</t>
        </is>
      </c>
      <c r="B19" s="6" t="n"/>
      <c r="C19" s="4" t="inlineStr">
        <is>
          <t>回題庫與素材第四節第四、五步。</t>
        </is>
      </c>
    </row>
    <row r="20" ht="32" customHeight="1" s="10">
      <c r="A20" s="4" t="inlineStr">
        <is>
          <t>我沒有硬答，也沒有直接卡住</t>
        </is>
      </c>
      <c r="B20" s="6" t="n"/>
      <c r="C20" s="4" t="inlineStr">
        <is>
          <t>硬答是編一個像答案的說法；卡住是沉默或「我不知道」就結束。</t>
        </is>
      </c>
    </row>
    <row r="21" ht="42" customHeight="1" s="10">
      <c r="A21" s="11" t="inlineStr">
        <is>
          <t>五步演練過一次，講得出來而不會慌，才算。</t>
        </is>
      </c>
    </row>
    <row r="22" ht="40" customHeight="1" s="10"/>
    <row r="23" ht="24" customHeight="1" s="10">
      <c r="A23" s="1" t="inlineStr">
        <is>
          <t>第 3 區　上場前檢核（7 項　沒滿就還不能上場）</t>
        </is>
      </c>
    </row>
    <row r="24" ht="26" customHeight="1" s="10">
      <c r="A24" s="3" t="inlineStr">
        <is>
          <t>檢核項目</t>
        </is>
      </c>
      <c r="B24" s="3" t="inlineStr">
        <is>
          <t>確認</t>
        </is>
      </c>
      <c r="C24" s="3" t="inlineStr">
        <is>
          <t>沒打勾的話，下一步</t>
        </is>
      </c>
    </row>
    <row r="25" ht="48" customHeight="1" s="10">
      <c r="A25" s="4" t="inlineStr">
        <is>
          <t>能用一分鐘講清楚研究問題、為什麼重要、打算怎麼做，且不用逐字稿</t>
        </is>
      </c>
      <c r="B25" s="6" t="n"/>
      <c r="C25" s="4" t="inlineStr">
        <is>
          <t>回題庫與素材第二節。被打斷要接得回來。</t>
        </is>
      </c>
    </row>
    <row r="26" ht="48" customHeight="1" s="10">
      <c r="A26" s="4" t="inlineStr">
        <is>
          <t>找人做過至少一輪模擬追問（四類題型各問到）</t>
        </is>
      </c>
      <c r="B26" s="6" t="n"/>
      <c r="C26" s="4" t="inlineStr">
        <is>
          <t>學長姐、同學或顧問都可以。一定要被跳題過。</t>
        </is>
      </c>
    </row>
    <row r="27" ht="48" customHeight="1" s="10">
      <c r="A27" s="4" t="inlineStr">
        <is>
          <t>一致性再檢查一次：CV、自傳、研究計畫沒有互相矛盾</t>
        </is>
      </c>
      <c r="B27" s="6" t="n"/>
      <c r="C27" s="4" t="inlineStr">
        <is>
          <t>口試前一天再讀一次三份文件。</t>
        </is>
      </c>
    </row>
    <row r="28" ht="48" customHeight="1" s="10">
      <c r="A28" s="4" t="inlineStr">
        <is>
          <t>固定追蹤財經時事，每週一小時，針對幾條主線累積觀點</t>
        </is>
      </c>
      <c r="B28" s="6" t="n"/>
      <c r="C28" s="4" t="inlineStr">
        <is>
          <t>利率、匯率、通膨、產業趨勢、ESG、AI 與數位轉型、國際經貿。</t>
        </is>
      </c>
    </row>
    <row r="29" ht="48" customHeight="1" s="10">
      <c r="A29" s="4" t="inlineStr">
        <is>
          <t>目標系所核心課程的基本概念，各用三句話解釋過一遍</t>
        </is>
      </c>
      <c r="B29" s="6" t="n"/>
      <c r="C29" s="4" t="inlineStr">
        <is>
          <t>講得出來就是懂了，講不出來就是還沒懂。</t>
        </is>
      </c>
    </row>
    <row r="30" ht="48" customHeight="1" s="10">
      <c r="A30" s="4" t="inlineStr">
        <is>
          <t>研究計畫裡的資料來源、方法限制、結果不如預期的備案都想過</t>
        </is>
      </c>
      <c r="B30" s="6" t="n"/>
      <c r="C30" s="4" t="inlineStr">
        <is>
          <t>回題庫研究計畫第三、四題。</t>
        </is>
      </c>
    </row>
    <row r="31" ht="48" customHeight="1" s="10">
      <c r="A31" s="4" t="inlineStr">
        <is>
          <t>服裝、時間、線上設備／網路或現場路線都已確認</t>
        </is>
      </c>
      <c r="B31" s="6" t="n"/>
      <c r="C31" s="4" t="inlineStr">
        <is>
          <t>線上口試先測過鏡頭與麥克風。</t>
        </is>
      </c>
    </row>
    <row r="32" ht="42" customHeight="1" s="10">
      <c r="A32" s="11" t="inlineStr">
        <is>
          <t>這七項是最後那道閘門。它們不是新工作，是把前面的準備再問一次。</t>
        </is>
      </c>
    </row>
    <row r="33" ht="40" customHeight="1" s="10"/>
    <row r="34" ht="24" customHeight="1" s="10">
      <c r="A34" s="1" t="inlineStr">
        <is>
          <t>第 4 區　常見失分點（6 項　✓ 代表我不會這樣答）</t>
        </is>
      </c>
    </row>
    <row r="35" ht="26" customHeight="1" s="10">
      <c r="A35" s="3" t="inlineStr">
        <is>
          <t>檢核項目</t>
        </is>
      </c>
      <c r="B35" s="3" t="inlineStr">
        <is>
          <t>確認</t>
        </is>
      </c>
      <c r="C35" s="3" t="inlineStr">
        <is>
          <t>沒打勾的話，下一步</t>
        </is>
      </c>
    </row>
    <row r="36" ht="32" customHeight="1" s="10">
      <c r="A36" s="4" t="inlineStr">
        <is>
          <t>研究問題講成產業現象描述，沒有可檢驗的關係</t>
        </is>
      </c>
      <c r="B36" s="6" t="n"/>
      <c r="C36" s="4" t="inlineStr">
        <is>
          <t>回題庫研究計畫第一題，把現象改寫成一個能被回答的問題。</t>
        </is>
      </c>
    </row>
    <row r="37" ht="32" customHeight="1" s="10">
      <c r="A37" s="4" t="inlineStr">
        <is>
          <t>答不出資料從哪裡來、拿不拿得到</t>
        </is>
      </c>
      <c r="B37" s="6" t="n"/>
      <c r="C37" s="4" t="inlineStr">
        <is>
          <t>回題庫研究計畫第三題。</t>
        </is>
      </c>
    </row>
    <row r="38" ht="32" customHeight="1" s="10">
      <c r="A38" s="4" t="inlineStr">
        <is>
          <t>理論掛在計畫上當裝飾，被追問時說不出怎麼用</t>
        </is>
      </c>
      <c r="B38" s="6" t="n"/>
      <c r="C38" s="4" t="inlineStr">
        <is>
          <t>回題庫研究計畫第二題：它讓我看見什麼是別的框架看不見的。</t>
        </is>
      </c>
    </row>
    <row r="39" ht="32" customHeight="1" s="10">
      <c r="A39" s="4" t="inlineStr">
        <is>
          <t>被問到方法為什麼適合時，只答得出方法名稱</t>
        </is>
      </c>
      <c r="B39" s="6" t="n"/>
      <c r="C39" s="4" t="inlineStr">
        <is>
          <t>回題庫研究計畫第四題，說得出限制才算懂方法。</t>
        </is>
      </c>
    </row>
    <row r="40" ht="32" customHeight="1" s="10">
      <c r="A40" s="4" t="inlineStr">
        <is>
          <t>預期貢獻寫成空泛期許，說不出對學術或實務多知道什麼</t>
        </is>
      </c>
      <c r="B40" s="6" t="n"/>
      <c r="C40" s="4" t="inlineStr">
        <is>
          <t>回一分鐘說明的骨架第三段。</t>
        </is>
      </c>
    </row>
    <row r="41" ht="32" customHeight="1" s="10">
      <c r="A41" s="4" t="inlineStr">
        <is>
          <t>結果與假設不符時，答不出下一步怎麼檢驗</t>
        </is>
      </c>
      <c r="B41" s="6" t="n"/>
      <c r="C41" s="4" t="inlineStr">
        <is>
          <t>回題庫研究計畫第四題。</t>
        </is>
      </c>
    </row>
    <row r="42" ht="40" customHeight="1" s="10"/>
    <row r="43" ht="42" customHeight="1" s="10">
      <c r="A43" s="11" t="inlineStr">
        <is>
          <t>打完切到「我到哪了」分頁看結果。</t>
        </is>
      </c>
    </row>
    <row r="44" ht="14" customHeight="1" s="10"/>
    <row r="45" ht="28" customHeight="1" s="10">
      <c r="A45" s="5" t="inlineStr">
        <is>
          <t># 搭配文章：商管與財經研究所口試：研究計畫答辯、專業科目與個案時事怎麼答　https://tbd-edu.com/pages/resources/business-graduate-oral.html</t>
        </is>
      </c>
    </row>
    <row r="46" ht="28" customHeight="1" s="10">
      <c r="A46" s="5" t="inlineStr">
        <is>
          <t># TBD Studio ｜ https://tbd-edu.com/</t>
        </is>
      </c>
    </row>
  </sheetData>
  <mergeCells count="5">
    <mergeCell ref="A32:C32"/>
    <mergeCell ref="A21:C21"/>
    <mergeCell ref="A12:C12"/>
    <mergeCell ref="A43:C43"/>
    <mergeCell ref="A2:C2"/>
  </mergeCells>
  <dataValidations count="1">
    <dataValidation sqref="B6:B11 B16:B20 B25:B31 B36:B41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zoomScale="75" workbookViewId="0">
      <pane ySplit="2" topLeftCell="A7" activePane="bottomLeft" state="frozen"/>
      <selection pane="bottomLeft" activeCell="A19" activeCellId="1" sqref="A13:XFD13 A19:XFD19"/>
    </sheetView>
  </sheetViews>
  <sheetFormatPr baseColWidth="10" defaultColWidth="9" defaultRowHeight="14"/>
  <cols>
    <col width="43.59765625" customWidth="1" style="10" min="1" max="1"/>
    <col width="20.3984375" customWidth="1" style="10" min="2" max="2"/>
    <col width="68.59765625" customWidth="1" style="10" min="3" max="3"/>
    <col width="89" customWidth="1" style="10" min="4" max="4"/>
    <col width="12" customWidth="1" style="10" min="5" max="6"/>
  </cols>
  <sheetData>
    <row r="1" ht="30" customHeight="1" s="10">
      <c r="A1" s="2" t="inlineStr">
        <is>
          <t>商管與財經｜口試自我檢核表　v1</t>
        </is>
      </c>
    </row>
    <row r="2" ht="28" customHeight="1" s="10">
      <c r="A2" s="15" t="inlineStr">
        <is>
          <t>數字會跟著前面的分頁自動變。留白的項目就是你接下來的工作清單。</t>
        </is>
      </c>
    </row>
    <row r="3" ht="40" customHeight="1" s="10"/>
    <row r="4" ht="24" customHeight="1" s="10">
      <c r="A4" s="1" t="inlineStr">
        <is>
          <t>6 區完成度</t>
        </is>
      </c>
    </row>
    <row r="5" ht="26" customHeight="1" s="10">
      <c r="A5" s="3" t="inlineStr">
        <is>
          <t>區塊</t>
        </is>
      </c>
      <c r="B5" s="3" t="inlineStr">
        <is>
          <t>已確認</t>
        </is>
      </c>
      <c r="C5" s="3" t="inlineStr">
        <is>
          <t>完成的比例（滿格代表這一區做完）</t>
        </is>
      </c>
      <c r="D5" s="3" t="inlineStr">
        <is>
          <t>這一區在檢查什麼</t>
        </is>
      </c>
    </row>
    <row r="6" ht="32" customHeight="1" s="10">
      <c r="A6" s="4" t="inlineStr">
        <is>
          <t>題庫：寫出答案</t>
        </is>
      </c>
      <c r="B6" s="4">
        <f>COUNTIF(題庫與素材!D6:D19,"✓")&amp;" / 14"</f>
        <v/>
      </c>
      <c r="C6" s="4">
        <f>IF(COUNTIF(題庫與素材!D6:D19,"✓")=0,"尚未開始",REPT("█",ROUND(COUNTIF(題庫與素材!D6:D19,"✓")/14*16,0)))</f>
        <v/>
      </c>
      <c r="D6" s="4" t="inlineStr">
        <is>
          <t>四類題型十四題，寫得出答案要點了沒。</t>
        </is>
      </c>
    </row>
    <row r="7" ht="32" customHeight="1" s="10">
      <c r="A7" s="4" t="inlineStr">
        <is>
          <t>題庫：練過口說</t>
        </is>
      </c>
      <c r="B7" s="4">
        <f>COUNTIF(題庫與素材!E6:E19,"✓")&amp;" / 14"</f>
        <v/>
      </c>
      <c r="C7" s="4">
        <f>IF(COUNTIF(題庫與素材!E6:E19,"✓")=0,"尚未開始",REPT("█",ROUND(COUNTIF(題庫與素材!E6:E19,"✓")/14*16,0)))</f>
        <v/>
      </c>
      <c r="D7" s="4" t="inlineStr">
        <is>
          <t>同樣十四題，被連續追問時講得出來了沒。</t>
        </is>
      </c>
    </row>
    <row r="8" ht="32" customHeight="1" s="10">
      <c r="A8" s="4" t="inlineStr">
        <is>
          <t>開場與框架練習</t>
        </is>
      </c>
      <c r="B8" s="4">
        <f>COUNTIF(檢核表!B6:B11,"✓")&amp;" / 6"</f>
        <v/>
      </c>
      <c r="C8" s="4">
        <f>IF(COUNTIF(檢核表!B6:B11,"✓")=0,"尚未開始",REPT("█",ROUND(COUNTIF(檢核表!B6:B11,"✓")/6*16,0)))</f>
        <v/>
      </c>
      <c r="D8" s="4" t="inlineStr">
        <is>
          <t>一分鐘說明、為什麼是你、五個情境與五則新聞練過了沒。</t>
        </is>
      </c>
    </row>
    <row r="9" ht="32" customHeight="1" s="10">
      <c r="A9" s="4" t="inlineStr">
        <is>
          <t>面對不會的問題</t>
        </is>
      </c>
      <c r="B9" s="4">
        <f>COUNTIF(檢核表!B16:B20,"✓")&amp;" / 5"</f>
        <v/>
      </c>
      <c r="C9" s="4">
        <f>IF(COUNTIF(檢核表!B16:B20,"✓")=0,"尚未開始",REPT("█",ROUND(COUNTIF(檢核表!B16:B20,"✓")/5*16,0)))</f>
        <v/>
      </c>
      <c r="D9" s="4" t="inlineStr">
        <is>
          <t>五步演練過了沒，有沒有硬答或直接卡住。</t>
        </is>
      </c>
    </row>
    <row r="10" ht="32" customHeight="1" s="10">
      <c r="A10" s="4" t="inlineStr">
        <is>
          <t>上場前檢核</t>
        </is>
      </c>
      <c r="B10" s="4">
        <f>COUNTIF(檢核表!B25:B31,"✓")&amp;" / 7"</f>
        <v/>
      </c>
      <c r="C10" s="4">
        <f>IF(COUNTIF(檢核表!B25:B31,"✓")=0,"尚未開始",REPT("█",ROUND(COUNTIF(檢核表!B25:B31,"✓")/7*16,0)))</f>
        <v/>
      </c>
      <c r="D10" s="4" t="inlineStr">
        <is>
          <t>最後那道閘門。這七項沒到就還不能上場。</t>
        </is>
      </c>
    </row>
    <row r="11" ht="32" customHeight="1" s="10">
      <c r="A11" s="4" t="inlineStr">
        <is>
          <t>常見失分點</t>
        </is>
      </c>
      <c r="B11" s="4">
        <f>COUNTIF(檢核表!B36:B41,"✓")&amp;" / 6"</f>
        <v/>
      </c>
      <c r="C11" s="4">
        <f>IF(COUNTIF(檢核表!B36:B41,"✓")=0,"尚未開始",REPT("█",ROUND(COUNTIF(檢核表!B36:B41,"✓")/6*16,0)))</f>
        <v/>
      </c>
      <c r="D11" s="4" t="inlineStr">
        <is>
          <t>有沒有踩到最常見的六個失分回答。</t>
        </is>
      </c>
    </row>
    <row r="12" ht="32" customHeight="1" s="10">
      <c r="A12" s="4" t="inlineStr">
        <is>
          <t>合計</t>
        </is>
      </c>
      <c r="B12" s="4">
        <f>(COUNTIF(題庫與素材!D6:D19,"✓")+COUNTIF(題庫與素材!E6:E19,"✓")+COUNTIF(檢核表!B6:B11,"✓")+COUNTIF(檢核表!B16:B20,"✓")+COUNTIF(檢核表!B25:B31,"✓")+COUNTIF(檢核表!B36:B41,"✓")+COUNTIF(題庫與素材!D33:D37,"✓"))&amp;" / 57"</f>
        <v/>
      </c>
      <c r="C12" s="4">
        <f>IF((COUNTIF(題庫與素材!D6:D19,"✓")+COUNTIF(題庫與素材!E6:E19,"✓")+COUNTIF(檢核表!B6:B11,"✓")+COUNTIF(檢核表!B16:B20,"✓")+COUNTIF(檢核表!B25:B31,"✓")+COUNTIF(檢核表!B36:B41,"✓")+COUNTIF(題庫與素材!D33:D37,"✓"))=0,"尚未開始",REPT("█",ROUND((COUNTIF(題庫與素材!D6:D19,"✓")+COUNTIF(題庫與素材!E6:E19,"✓")+COUNTIF(檢核表!B6:B11,"✓")+COUNTIF(檢核表!B16:B20,"✓")+COUNTIF(檢核表!B25:B31,"✓")+COUNTIF(檢核表!B36:B41,"✓")+COUNTIF(題庫與素材!D33:D37,"✓"))/57*16,0)))</f>
        <v/>
      </c>
      <c r="D12" s="4" t="inlineStr">
        <is>
          <t>完成率見下方。</t>
        </is>
      </c>
    </row>
    <row r="13" ht="42" customHeight="1" s="10">
      <c r="A13" s="11" t="inlineStr">
        <is>
          <t>7 條長條都換算成同一個滿格刻度，所以可以直接互相比。最短的那一區就是你目前最弱的地方。</t>
        </is>
      </c>
    </row>
    <row r="14" ht="40" customHeight="1" s="10"/>
    <row r="15" ht="24" customHeight="1" s="10">
      <c r="A15" s="1" t="inlineStr">
        <is>
          <t>還有什麼可以做</t>
        </is>
      </c>
    </row>
    <row r="16" ht="26" customHeight="1" s="10">
      <c r="A16" s="3" t="inlineStr">
        <is>
          <t>完成率</t>
        </is>
      </c>
      <c r="B16" s="3" t="inlineStr">
        <is>
          <t>還沒打勾</t>
        </is>
      </c>
      <c r="C16" s="3" t="inlineStr">
        <is>
          <t>怎麼用這兩個數字</t>
        </is>
      </c>
    </row>
    <row r="17" ht="70" customHeight="1" s="10">
      <c r="A17" s="7">
        <f>(COUNTIF(題庫與素材!D6:D19,"✓")+COUNTIF(題庫與素材!E6:E19,"✓")+COUNTIF(檢核表!B6:B11,"✓")+COUNTIF(檢核表!B16:B20,"✓")+COUNTIF(檢核表!B25:B31,"✓")+COUNTIF(檢核表!B36:B41,"✓")+COUNTIF(題庫與素材!D33:D37,"✓"))/57</f>
        <v/>
      </c>
      <c r="B17" s="4">
        <f>57-(COUNTIF(題庫與素材!D6:D19,"✓")+COUNTIF(題庫與素材!E6:E19,"✓")+COUNTIF(檢核表!B6:B11,"✓")+COUNTIF(檢核表!B16:B20,"✓")+COUNTIF(檢核表!B25:B31,"✓")+COUNTIF(檢核表!B36:B41,"✓")+COUNTIF(題庫與素材!D33:D37,"✓"))</f>
        <v/>
      </c>
      <c r="C17" s="4" t="inlineStr">
        <is>
          <t>「還沒打勾」就是你的工作清單長度。回「檢核表」看那幾列的「下一步」欄，一項對應一件要做的事。</t>
        </is>
      </c>
    </row>
    <row r="18" ht="42" customHeight="1" s="10">
      <c r="A18" s="11" t="inlineStr">
        <is>
          <t>不用追求一次補完。每次回來處理三到五項，隔幾天再打一次，你會看得到自己的進度。</t>
        </is>
      </c>
    </row>
    <row r="19" ht="14" customHeight="1" s="10"/>
    <row r="20" ht="28" customHeight="1" s="10">
      <c r="A20" s="5" t="inlineStr">
        <is>
          <t># 搭配文章：商管與財經研究所口試：研究計畫答辯、專業科目與個案時事怎麼答　https://tbd-edu.com/pages/resources/business-graduate-oral.html</t>
        </is>
      </c>
    </row>
    <row r="21" ht="28" customHeight="1" s="10">
      <c r="A21" s="5" t="inlineStr">
        <is>
          <t># TBD Studio ｜ https://tbd-edu.com/</t>
        </is>
      </c>
    </row>
  </sheetData>
  <mergeCells count="3">
    <mergeCell ref="A18:D18"/>
    <mergeCell ref="A13:D1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tabSelected="1" zoomScale="75" workbookViewId="0">
      <pane ySplit="2" topLeftCell="A3" activePane="bottomLeft" state="frozen"/>
      <selection pane="bottomLeft" activeCell="B6" sqref="B6"/>
    </sheetView>
  </sheetViews>
  <sheetFormatPr baseColWidth="10" defaultColWidth="9" defaultRowHeight="14"/>
  <cols>
    <col width="16" customWidth="1" style="10" min="1" max="1"/>
    <col width="22" customWidth="1" style="10" min="2" max="2"/>
    <col width="61.59765625" customWidth="1" style="10" min="3" max="3"/>
    <col width="59.796875" customWidth="1" style="10" min="4" max="4"/>
    <col width="14" customWidth="1" style="10" min="5" max="5"/>
    <col width="12" customWidth="1" style="10" min="6" max="6"/>
  </cols>
  <sheetData>
    <row r="1" ht="30" customHeight="1" s="10">
      <c r="A1" s="2" t="inlineStr">
        <is>
          <t>商管與財經｜口試自我檢核表　v1</t>
        </is>
      </c>
    </row>
    <row r="2" ht="28" customHeight="1" s="10">
      <c r="A2" s="15" t="inlineStr">
        <is>
          <t>每模擬一次記一列。被問倒的地方就是接下來要補的，不用寫得漂亮。淡黃色的儲存格是要你填或勾的，其餘是給你讀的。</t>
        </is>
      </c>
    </row>
    <row r="3" ht="40" customHeight="1" s="10"/>
    <row r="4" ht="24" customHeight="1" s="10">
      <c r="A4" s="1" t="inlineStr">
        <is>
          <t>模擬追問紀錄</t>
        </is>
      </c>
    </row>
    <row r="5" ht="26" customHeight="1" s="10">
      <c r="A5" s="3" t="inlineStr">
        <is>
          <t>日期</t>
        </is>
      </c>
      <c r="B5" s="3" t="inlineStr">
        <is>
          <t>追問類型</t>
        </is>
      </c>
      <c r="C5" s="3" t="inlineStr">
        <is>
          <t>被問倒的地方</t>
        </is>
      </c>
      <c r="D5" s="3" t="inlineStr">
        <is>
          <t>我的下一步</t>
        </is>
      </c>
      <c r="E5" s="3" t="inlineStr">
        <is>
          <t>已改進</t>
        </is>
      </c>
    </row>
    <row r="6" ht="32" customHeight="1" s="10">
      <c r="A6" s="8" t="n"/>
      <c r="B6" s="6" t="n"/>
      <c r="C6" s="6" t="n"/>
      <c r="D6" s="6" t="n"/>
      <c r="E6" s="6" t="n"/>
    </row>
    <row r="7" ht="32" customHeight="1" s="10">
      <c r="A7" s="8" t="n"/>
      <c r="B7" s="6" t="n"/>
      <c r="C7" s="6" t="n"/>
      <c r="D7" s="6" t="n"/>
      <c r="E7" s="6" t="n"/>
    </row>
    <row r="8" ht="32" customHeight="1" s="10">
      <c r="A8" s="8" t="n"/>
      <c r="B8" s="6" t="n"/>
      <c r="C8" s="6" t="n"/>
      <c r="D8" s="6" t="n"/>
      <c r="E8" s="6" t="n"/>
    </row>
    <row r="9" ht="32" customHeight="1" s="10">
      <c r="A9" s="8" t="n"/>
      <c r="B9" s="6" t="n"/>
      <c r="C9" s="6" t="n"/>
      <c r="D9" s="6" t="n"/>
      <c r="E9" s="6" t="n"/>
    </row>
    <row r="10" ht="32" customHeight="1" s="10">
      <c r="A10" s="8" t="n"/>
      <c r="B10" s="6" t="n"/>
      <c r="C10" s="6" t="n"/>
      <c r="D10" s="6" t="n"/>
      <c r="E10" s="6" t="n"/>
    </row>
    <row r="11" ht="32" customHeight="1" s="10">
      <c r="A11" s="8" t="n"/>
      <c r="B11" s="6" t="n"/>
      <c r="C11" s="6" t="n"/>
      <c r="D11" s="6" t="n"/>
      <c r="E11" s="6" t="n"/>
    </row>
    <row r="12" ht="32" customHeight="1" s="10">
      <c r="A12" s="8" t="n"/>
      <c r="B12" s="6" t="n"/>
      <c r="C12" s="6" t="n"/>
      <c r="D12" s="6" t="n"/>
      <c r="E12" s="6" t="n"/>
    </row>
    <row r="13" ht="32" customHeight="1" s="10">
      <c r="A13" s="8" t="n"/>
      <c r="B13" s="6" t="n"/>
      <c r="C13" s="6" t="n"/>
      <c r="D13" s="6" t="n"/>
      <c r="E13" s="6" t="n"/>
    </row>
    <row r="14" ht="32" customHeight="1" s="10">
      <c r="A14" s="8" t="n"/>
      <c r="B14" s="6" t="n"/>
      <c r="C14" s="6" t="n"/>
      <c r="D14" s="6" t="n"/>
      <c r="E14" s="6" t="n"/>
    </row>
    <row r="15" ht="32" customHeight="1" s="10">
      <c r="A15" s="8" t="n"/>
      <c r="B15" s="6" t="n"/>
      <c r="C15" s="6" t="n"/>
      <c r="D15" s="6" t="n"/>
      <c r="E15" s="6" t="n"/>
    </row>
    <row r="16" ht="42" customHeight="1" s="10">
      <c r="A16" s="11" t="inlineStr">
        <is>
          <t>自己想過和被別人連續追問是兩種壓力。找學長姐、同學或顧問各做一輪，四類題型都要問到，而且要跳題。</t>
        </is>
      </c>
    </row>
    <row r="17" ht="14" customHeight="1" s="10"/>
    <row r="18" ht="28" customHeight="1" s="10">
      <c r="A18" s="5" t="inlineStr">
        <is>
          <t># 搭配文章：商管與財經研究所口試：研究計畫答辯、專業科目與個案時事怎麼答　https://tbd-edu.com/pages/resources/business-graduate-oral.html</t>
        </is>
      </c>
    </row>
    <row r="19" ht="28" customHeight="1" s="10">
      <c r="A19" s="5" t="inlineStr">
        <is>
          <t># TBD Studio ｜ https://tbd-edu.com/</t>
        </is>
      </c>
    </row>
  </sheetData>
  <mergeCells count="2">
    <mergeCell ref="A2:E2"/>
    <mergeCell ref="A16:E16"/>
  </mergeCells>
  <dataValidations count="2">
    <dataValidation sqref="E6:E15" showDropDown="0" showInputMessage="0" showErrorMessage="0" allowBlank="0" type="list">
      <formula1>"是,還沒"</formula1>
    </dataValidation>
    <dataValidation sqref="B6:B15" showDropDown="0" showInputMessage="0" showErrorMessage="0" allowBlank="0" type="list">
      <formula1>"研究計畫,專業知識,財經時事,個案與情境題,必考題"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2026-09-21T09:18:01Z</dcterms:created>
  <dcterms:modified xmlns:dcterms="http://purl.org/dc/terms/" xmlns:xsi="http://www.w3.org/2001/XMLSchema-instance" xsi:type="dcterms:W3CDTF">2026-09-24T14:04:38Z</dcterms:modified>
  <cp:lastModifiedBy>TBD Studio</cp:lastModifiedBy>
</cp:coreProperties>
</file>