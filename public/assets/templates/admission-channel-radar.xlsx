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戰力評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PMingLiU"/>
      <charset val="136"/>
      <family val="1"/>
      <color theme="1"/>
      <sz val="11"/>
    </font>
    <font>
      <name val="Courier New"/>
      <family val="1"/>
      <color rgb="FF333333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新細明體"/>
      <family val="2"/>
      <color theme="1"/>
      <sz val="16"/>
      <scheme val="minor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Microsoft JhengHei"/>
      <charset val="136"/>
      <family val="1"/>
      <color rgb="FF333333"/>
      <sz val="16"/>
    </font>
    <font>
      <name val="Arial"/>
      <family val="2"/>
      <b val="1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9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49" fontId="8" fillId="0" borderId="1" applyAlignment="1" pivotButton="0" quotePrefix="0" xfId="0">
      <alignment horizontal="left" vertical="top" wrapText="1"/>
    </xf>
    <xf numFmtId="0" fontId="7" fillId="0" borderId="2" pivotButton="0" quotePrefix="0" xfId="0"/>
    <xf numFmtId="0" fontId="8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三個管道的戰力</a:t>
            </a:r>
          </a:p>
        </rich>
      </tx>
    </title>
    <plotArea>
      <radarChart>
        <radarStyle val="marker"/>
        <ser>
          <idx val="0"/>
          <order val="0"/>
          <tx>
            <strRef>
              <f>'戰力評估'!B18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'戰力評估'!$A$19:$A$21</f>
            </numRef>
          </cat>
          <val>
            <numRef>
              <f>'戰力評估'!$B$19:$B$21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2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tabSelected="1" zoomScale="75" zoomScaleNormal="75" workbookViewId="0">
      <pane ySplit="2" topLeftCell="A33" activePane="bottomLeft" state="frozen"/>
      <selection pane="bottomLeft" activeCell="B45" sqref="B45"/>
    </sheetView>
  </sheetViews>
  <sheetFormatPr baseColWidth="10" defaultColWidth="9" defaultRowHeight="14"/>
  <cols>
    <col width="22" customWidth="1" style="3" min="1" max="1"/>
    <col width="95.59765625" customWidth="1" style="3" min="2" max="2"/>
    <col width="30" customWidth="1" style="3" min="3" max="3"/>
    <col width="16" customWidth="1" style="3" min="4" max="4"/>
    <col width="12" customWidth="1" style="3" min="5" max="6"/>
  </cols>
  <sheetData>
    <row r="1" ht="30" customHeight="1" s="3">
      <c r="A1" s="6" t="inlineStr">
        <is>
          <t>升學管道戰力評估與決策雷達圖　v1</t>
        </is>
      </c>
    </row>
    <row r="2" ht="29" customFormat="1" customHeight="1" s="23">
      <c r="A2" s="22" t="inlineStr">
        <is>
          <t>先讀這頁，大約兩分鐘。工具在下一個分頁。</t>
        </is>
      </c>
    </row>
    <row r="3" ht="40" customHeight="1" s="3">
      <c r="A3" s="12" t="n"/>
      <c r="B3" s="12" t="n"/>
      <c r="C3" s="12" t="n"/>
    </row>
    <row r="4" ht="22" customHeight="1" s="3">
      <c r="A4" s="8" t="inlineStr">
        <is>
          <t>這份工具解決什麼</t>
        </is>
      </c>
      <c r="B4" s="9" t="n"/>
      <c r="C4" s="12" t="n"/>
    </row>
    <row r="5" ht="61" customHeight="1" s="3">
      <c r="A5" s="11" t="inlineStr">
        <is>
          <t>你知道有個申、特選、分科三條路，但不知道該主攻哪一條。這份表不會替你決定，它讓你看見每條路你還缺什麼。決定權還是在你，只是你會知道自己在決定什麼。</t>
        </is>
      </c>
      <c r="C5" s="12" t="n"/>
    </row>
    <row r="6" ht="41" customHeight="1" s="3">
      <c r="A6" s="12" t="n"/>
      <c r="B6" s="12" t="n"/>
      <c r="C6" s="12" t="n"/>
    </row>
    <row r="7" ht="22" customHeight="1" s="3">
      <c r="A7" s="8" t="inlineStr">
        <is>
          <t>什麼時候用</t>
        </is>
      </c>
      <c r="B7" s="9" t="n"/>
      <c r="C7" s="12" t="n"/>
    </row>
    <row r="8" ht="42" customHeight="1" s="3">
      <c r="A8" s="11" t="inlineStr">
        <is>
          <t>高二下到高三上，在開始準備任何備審文件之前。高一填會沒有東西可評估，高三下才填則是算出來也來不及調整。</t>
        </is>
      </c>
      <c r="C8" s="12" t="n"/>
    </row>
    <row r="9" ht="40" customHeight="1" s="3">
      <c r="A9" s="12" t="n"/>
      <c r="B9" s="12" t="n"/>
      <c r="C9" s="12" t="n"/>
    </row>
    <row r="10" ht="22" customHeight="1" s="3">
      <c r="A10" s="8" t="inlineStr">
        <is>
          <t>三個步驟</t>
        </is>
      </c>
      <c r="B10" s="9" t="n"/>
      <c r="C10" s="12" t="n"/>
    </row>
    <row r="11" ht="26" customHeight="1" s="3">
      <c r="A11" s="13" t="inlineStr">
        <is>
          <t>步驟</t>
        </is>
      </c>
      <c r="B11" s="13" t="inlineStr">
        <is>
          <t>做什麼</t>
        </is>
      </c>
      <c r="C11" s="12" t="n"/>
    </row>
    <row r="12" ht="32" customHeight="1" s="3">
      <c r="A12" s="14" t="inlineStr">
        <is>
          <t>第 1 步</t>
        </is>
      </c>
      <c r="B12" s="14" t="inlineStr">
        <is>
          <t>切到「戰力評估」分頁，12 個項目各給自己 1 到 5 分。</t>
        </is>
      </c>
      <c r="C12" s="12" t="n"/>
    </row>
    <row r="13" ht="32" customHeight="1" s="3">
      <c r="A13" s="14" t="inlineStr">
        <is>
          <t>第 2 步</t>
        </is>
      </c>
      <c r="B13" s="14" t="inlineStr">
        <is>
          <t>下方三條戰力長條會自動長出來，不用填。</t>
        </is>
      </c>
      <c r="C13" s="12" t="n"/>
    </row>
    <row r="14" ht="32" customHeight="1" s="3">
      <c r="A14" s="14" t="inlineStr">
        <is>
          <t>第 3 步</t>
        </is>
      </c>
      <c r="B14" s="14" t="inlineStr">
        <is>
          <t>看最長和最短的那條，分別是哪幾題撐起來或拉低的。</t>
        </is>
      </c>
      <c r="C14" s="12" t="n"/>
    </row>
    <row r="15" ht="40" customHeight="1" s="3">
      <c r="A15" s="12" t="n"/>
      <c r="B15" s="12" t="n"/>
      <c r="C15" s="12" t="n"/>
    </row>
    <row r="16" ht="22" customHeight="1" s="3">
      <c r="A16" s="8" t="inlineStr">
        <is>
          <t>分數怎麼給</t>
        </is>
      </c>
      <c r="B16" s="9" t="n"/>
      <c r="C16" s="12" t="n"/>
    </row>
    <row r="17" ht="26" customHeight="1" s="3">
      <c r="A17" s="13" t="inlineStr">
        <is>
          <t>分數</t>
        </is>
      </c>
      <c r="B17" s="13" t="inlineStr">
        <is>
          <t>意思</t>
        </is>
      </c>
      <c r="C17" s="12" t="n"/>
    </row>
    <row r="18" ht="51" customHeight="1" s="3">
      <c r="A18" s="15" t="n">
        <v>1</v>
      </c>
      <c r="B18" s="14" t="inlineStr">
        <is>
          <t>完全不符合</t>
        </is>
      </c>
      <c r="C18" s="12" t="n"/>
    </row>
    <row r="19" ht="51" customHeight="1" s="3">
      <c r="A19" s="15" t="n">
        <v>3</v>
      </c>
      <c r="B19" s="14" t="inlineStr">
        <is>
          <t>一半一半</t>
        </is>
      </c>
      <c r="C19" s="12" t="n"/>
    </row>
    <row r="20" ht="51" customHeight="1" s="3">
      <c r="A20" s="15" t="n">
        <v>5</v>
      </c>
      <c r="B20" s="14" t="inlineStr">
        <is>
          <t>完全符合</t>
        </is>
      </c>
      <c r="C20" s="12" t="n"/>
    </row>
    <row r="21" ht="51" customHeight="1" s="3">
      <c r="A21" s="14" t="inlineStr">
        <is>
          <t>判斷方法</t>
        </is>
      </c>
      <c r="B21" s="14" t="inlineStr">
        <is>
          <t>把題目改成問句問自己：如果現在有人要我舉例，我舉得出來嗎。舉得出三個給 5 分，一個給 3 分，舉不出來給 1 分。</t>
        </is>
      </c>
      <c r="C21" s="12" t="n"/>
    </row>
    <row r="22" ht="51" customHeight="1" s="3">
      <c r="A22" s="14" t="inlineStr">
        <is>
          <t>兩個原則</t>
        </is>
      </c>
      <c r="B22" s="14" t="inlineStr">
        <is>
          <t>用證據不用感覺，想不出具體是哪幾項活動就不要給 4 分以上。也不要為了讓某條路看起來好而灌分，這張表只有你自己會看。</t>
        </is>
      </c>
      <c r="C22" s="12" t="n"/>
    </row>
    <row r="23" ht="40" customHeight="1" s="3">
      <c r="A23" s="12" t="n"/>
      <c r="B23" s="12" t="n"/>
      <c r="C23" s="12" t="n"/>
    </row>
    <row r="24" ht="22" customHeight="1" s="3">
      <c r="A24" s="8" t="inlineStr">
        <is>
          <t>三題要特別注意</t>
        </is>
      </c>
      <c r="B24" s="9" t="n"/>
      <c r="C24" s="12" t="n"/>
    </row>
    <row r="25" ht="26" customHeight="1" s="3">
      <c r="A25" s="13" t="inlineStr">
        <is>
          <t>題目</t>
        </is>
      </c>
      <c r="B25" s="13" t="inlineStr">
        <is>
          <t>為什麼</t>
        </is>
      </c>
      <c r="C25" s="12" t="n"/>
    </row>
    <row r="26" ht="63" customHeight="1" s="3">
      <c r="A26" s="14" t="inlineStr">
        <is>
          <t>學測成績能通過目標科系一階</t>
        </is>
      </c>
      <c r="B26" s="14" t="inlineStr">
        <is>
          <t>這題如果是 1 或 2 分，個申整條路就不成立，不管其他三題給多高。分數不會替你判斷這件事。</t>
        </is>
      </c>
      <c r="C26" s="12" t="n"/>
    </row>
    <row r="27" ht="42" customHeight="1" s="3">
      <c r="A27" s="14" t="inlineStr">
        <is>
          <t>時間有限，無法同時維持</t>
        </is>
      </c>
      <c r="B27" s="14" t="inlineStr">
        <is>
          <t>問的是餘裕。你想準備，但排不出時間。</t>
        </is>
      </c>
      <c r="C27" s="12" t="n"/>
    </row>
    <row r="28" ht="42" customHeight="1" s="3">
      <c r="A28" s="14" t="inlineStr">
        <is>
          <t>更願意把時間投入在考科上</t>
        </is>
      </c>
      <c r="B28" s="14" t="inlineStr">
        <is>
          <t>問的是意願。你排得出時間，但寧可念書。這兩題看起來像，其實是兩種完全不同的人。</t>
        </is>
      </c>
      <c r="C28" s="12" t="n"/>
    </row>
    <row r="29" ht="40" customHeight="1" s="3">
      <c r="A29" s="12" t="n"/>
      <c r="B29" s="12" t="n"/>
      <c r="C29" s="12" t="n"/>
    </row>
    <row r="30" ht="22" customHeight="1" s="3">
      <c r="A30" s="8" t="inlineStr">
        <is>
          <t>長條怎麼看</t>
        </is>
      </c>
      <c r="B30" s="9" t="n"/>
      <c r="C30" s="12" t="n"/>
    </row>
    <row r="31" ht="26" customHeight="1" s="3">
      <c r="A31" s="13" t="inlineStr">
        <is>
          <t>看什麼</t>
        </is>
      </c>
      <c r="B31" s="13" t="inlineStr">
        <is>
          <t>怎麼判斷</t>
        </is>
      </c>
      <c r="C31" s="12" t="n"/>
    </row>
    <row r="32" ht="22" customHeight="1" s="3">
      <c r="A32" s="14" t="inlineStr">
        <is>
          <t>比高低</t>
        </is>
      </c>
      <c r="B32" s="14" t="inlineStr">
        <is>
          <t>哪一條明顯比較長。</t>
        </is>
      </c>
      <c r="C32" s="12" t="n"/>
    </row>
    <row r="33" ht="63" customHeight="1" s="3">
      <c r="A33" s="14" t="inlineStr">
        <is>
          <t>比形狀</t>
        </is>
      </c>
      <c r="B33" s="14" t="inlineStr">
        <is>
          <t>三條差不多長，代表你的自評太平均。這通常表示你還沒真正想清楚自己的差異在哪，值得找人一起看。</t>
        </is>
      </c>
      <c r="C33" s="12" t="n"/>
    </row>
    <row r="34" ht="40" customHeight="1" s="3">
      <c r="A34" s="12" t="n"/>
      <c r="B34" s="12" t="n"/>
      <c r="C34" s="12" t="n"/>
    </row>
    <row r="35" ht="22" customHeight="1" s="3">
      <c r="A35" s="8" t="inlineStr">
        <is>
          <t>填完之後做三件事</t>
        </is>
      </c>
      <c r="B35" s="9" t="n"/>
      <c r="C35" s="12" t="n"/>
    </row>
    <row r="36" ht="26" customHeight="1" s="3">
      <c r="A36" s="13" t="inlineStr">
        <is>
          <t>對象</t>
        </is>
      </c>
      <c r="B36" s="13" t="inlineStr">
        <is>
          <t>做什麼</t>
        </is>
      </c>
      <c r="C36" s="12" t="n"/>
    </row>
    <row r="37" ht="45" customHeight="1" s="3">
      <c r="A37" s="14" t="inlineStr">
        <is>
          <t>最長的那條</t>
        </is>
      </c>
      <c r="B37" s="14" t="inlineStr">
        <is>
          <t>往下走，開始準備該管道的文件。</t>
        </is>
      </c>
      <c r="C37" s="12" t="n"/>
    </row>
    <row r="38" ht="45" customHeight="1" s="3">
      <c r="A38" s="14" t="inlineStr">
        <is>
          <t>最短的那條</t>
        </is>
      </c>
      <c r="B38" s="14" t="inlineStr">
        <is>
          <t>不是放棄，是看哪幾題拉低的。說不清楚選系理由可以補，學測落點才是硬限制。</t>
        </is>
      </c>
      <c r="C38" s="12" t="n"/>
    </row>
    <row r="39" ht="45" customHeight="1" s="3">
      <c r="A39" s="14" t="inlineStr">
        <is>
          <t>算落點</t>
        </is>
      </c>
      <c r="B39" s="14" t="inlineStr">
        <is>
          <t>工具分頁最下面有連結，直接把落點算出來。</t>
        </is>
      </c>
      <c r="C39" s="12" t="n"/>
    </row>
    <row r="40" ht="40" customHeight="1" s="3">
      <c r="A40" s="12" t="n"/>
      <c r="B40" s="12" t="n"/>
      <c r="C40" s="12" t="n"/>
    </row>
    <row r="41" ht="22" customHeight="1" s="3">
      <c r="A41" s="8" t="inlineStr">
        <is>
          <t>卡關時</t>
        </is>
      </c>
      <c r="B41" s="9" t="n"/>
      <c r="C41" s="12" t="n"/>
    </row>
    <row r="42" ht="26" customHeight="1" s="3">
      <c r="A42" s="13" t="inlineStr">
        <is>
          <t>狀況</t>
        </is>
      </c>
      <c r="B42" s="13" t="inlineStr">
        <is>
          <t>怎麼辦</t>
        </is>
      </c>
      <c r="C42" s="12" t="n"/>
    </row>
    <row r="43" ht="49" customHeight="1" s="3">
      <c r="A43" s="14" t="inlineStr">
        <is>
          <t>三條長條一樣長</t>
        </is>
      </c>
      <c r="B43" s="14" t="inlineStr">
        <is>
          <t>這是有意義的結果，不是填錯。回頭看你給 3 分的那幾題，那些是還沒發生的事，不是已經發生的事。</t>
        </is>
      </c>
      <c r="C43" s="12" t="n"/>
    </row>
    <row r="44" ht="49" customHeight="1" s="3">
      <c r="A44" s="14" t="inlineStr">
        <is>
          <t>想改分數</t>
        </is>
      </c>
      <c r="B44" s="14" t="inlineStr">
        <is>
          <t>隨時可以改，長條會跟著變。建議間隔一兩個月重填一次，這張表有一半的價值在於看變化。</t>
        </is>
      </c>
      <c r="C44" s="12" t="n"/>
    </row>
    <row r="45" ht="49" customHeight="1" s="3">
      <c r="A45" s="14" t="inlineStr">
        <is>
          <t>最長那條我不想走</t>
        </is>
      </c>
      <c r="B45" s="14" t="inlineStr">
        <is>
          <t>代表你的積累方向和意願不一致。是要調整積累還來得及，還是接受這條路然後處理意願問題，這種情況特別值得找人一起看。</t>
        </is>
      </c>
      <c r="C45" s="12" t="n"/>
    </row>
    <row r="46" ht="40" customHeight="1" s="3">
      <c r="A46" s="16" t="n"/>
      <c r="B46" s="12" t="n"/>
      <c r="C46" s="12" t="n"/>
    </row>
    <row r="47">
      <c r="A47" s="4" t="n"/>
    </row>
    <row r="48" ht="23" customHeight="1" s="3">
      <c r="A48" s="5" t="inlineStr">
        <is>
          <r>
            <t xml:space="preserve"># </t>
          </r>
          <r>
            <rPr>
              <rFont val="Microsoft JhengHei"/>
              <charset val="136"/>
              <family val="1"/>
              <color rgb="FF333333"/>
              <sz val="16"/>
            </rPr>
            <t xml:space="preserve">搭配文章：個申、特選、分科怎麼選？三種升學管道完整比較　</t>
          </r>
          <r>
            <rPr>
              <rFont val="Courier New"/>
              <family val="1"/>
              <color rgb="FF333333"/>
              <sz val="16"/>
            </rPr>
            <t>https://tbd-edu.com/pages/resources/admission-channels-compare.html</t>
          </r>
        </is>
      </c>
    </row>
    <row r="49" ht="22" customHeight="1" s="3">
      <c r="A49" s="5" t="inlineStr">
        <is>
          <t># TBD Studio ｜ https://tbd-edu.com/</t>
        </is>
      </c>
    </row>
  </sheetData>
  <mergeCells count="2">
    <mergeCell ref="A8:B8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75" zoomScaleNormal="75" workbookViewId="0">
      <pane ySplit="2" topLeftCell="A3" activePane="bottomLeft" state="frozen"/>
      <selection pane="bottomLeft" activeCell="J11" sqref="J11"/>
    </sheetView>
  </sheetViews>
  <sheetFormatPr baseColWidth="10" defaultColWidth="9" defaultRowHeight="14"/>
  <cols>
    <col width="10" customWidth="1" style="3" min="1" max="1"/>
    <col width="80.3984375" customWidth="1" style="3" min="2" max="2"/>
    <col width="32" customWidth="1" style="3" min="3" max="3"/>
    <col width="47" customWidth="1" style="3" min="4" max="4"/>
    <col width="12" customWidth="1" style="3" min="5" max="6"/>
  </cols>
  <sheetData>
    <row r="1" ht="30" customHeight="1" s="3">
      <c r="A1" s="6" t="inlineStr">
        <is>
          <t>升學管道戰力評估與決策雷達圖　v1</t>
        </is>
      </c>
    </row>
    <row r="2" ht="31" customHeight="1" s="3">
      <c r="A2" s="22" t="inlineStr">
        <is>
          <t>每一項給自己 1 到 5 分，下方三個平均分、戰力長條與雷達圖會自動算出。填法見「先讀這裡」分頁。淡黃色的儲存格是要你填或勾的，其餘是給你讀的。</t>
        </is>
      </c>
    </row>
    <row r="3" ht="40" customHeight="1" s="3"/>
    <row r="4" ht="26" customFormat="1" customHeight="1" s="12">
      <c r="A4" s="13" t="inlineStr">
        <is>
          <t>管道</t>
        </is>
      </c>
      <c r="B4" s="13" t="inlineStr">
        <is>
          <t>評估項目</t>
        </is>
      </c>
      <c r="C4" s="13" t="inlineStr">
        <is>
          <t>我的分數</t>
        </is>
      </c>
      <c r="D4" s="13" t="inlineStr">
        <is>
          <t>說明</t>
        </is>
      </c>
    </row>
    <row r="5" ht="34" customFormat="1" customHeight="1" s="12">
      <c r="A5" s="14" t="inlineStr">
        <is>
          <t>個申</t>
        </is>
      </c>
      <c r="B5" s="14" t="inlineStr">
        <is>
          <t>學測成績能通過目標科系一階</t>
        </is>
      </c>
      <c r="C5" s="17" t="n"/>
      <c r="D5" s="14" t="inlineStr">
        <is>
          <t>過不了一階，個申就不成立</t>
        </is>
      </c>
    </row>
    <row r="6" ht="34" customFormat="1" customHeight="1" s="12">
      <c r="A6" s="14" t="inlineStr">
        <is>
          <t>個申</t>
        </is>
      </c>
      <c r="B6" s="14" t="inlineStr">
        <is>
          <t>科系方向明確，能說清楚為什麼選這裡</t>
        </is>
      </c>
      <c r="C6" s="17" t="n"/>
      <c r="D6" s="14" t="n"/>
    </row>
    <row r="7" ht="34" customFormat="1" customHeight="1" s="12">
      <c r="A7" s="14" t="inlineStr">
        <is>
          <t>個申</t>
        </is>
      </c>
      <c r="B7" s="14" t="inlineStr">
        <is>
          <t>三年有活動、課程或作品能整理成有主線的備審</t>
        </is>
      </c>
      <c r="C7" s="17" t="n"/>
      <c r="D7" s="14" t="inlineStr">
        <is>
          <t>重點是主線不是數量</t>
        </is>
      </c>
    </row>
    <row r="8" ht="34" customFormat="1" customHeight="1" s="12">
      <c r="A8" s="14" t="inlineStr">
        <is>
          <t>個申</t>
        </is>
      </c>
      <c r="B8" s="14" t="inlineStr">
        <is>
          <t>願意投入時間準備備審文件和面試</t>
        </is>
      </c>
      <c r="C8" s="17" t="n"/>
      <c r="D8" s="14" t="n"/>
    </row>
    <row r="9" ht="34" customFormat="1" customHeight="1" s="12">
      <c r="A9" s="14" t="inlineStr">
        <is>
          <t>特選</t>
        </is>
      </c>
      <c r="B9" s="14" t="inlineStr">
        <is>
          <t>在特定領域有深度的自主學習或研究經歷</t>
        </is>
      </c>
      <c r="C9" s="17" t="n"/>
      <c r="D9" s="14" t="inlineStr">
        <is>
          <t>深度比廣度重要</t>
        </is>
      </c>
    </row>
    <row r="10" ht="34" customFormat="1" customHeight="1" s="12">
      <c r="A10" s="14" t="inlineStr">
        <is>
          <t>特選</t>
        </is>
      </c>
      <c r="B10" s="14" t="inlineStr">
        <is>
          <t>參加過有意義的競賽或計畫，有可展示的具體成果</t>
        </is>
      </c>
      <c r="C10" s="17" t="n"/>
      <c r="D10" s="14" t="n"/>
    </row>
    <row r="11" ht="34" customFormat="1" customHeight="1" s="12">
      <c r="A11" s="14" t="inlineStr">
        <is>
          <t>特選</t>
        </is>
      </c>
      <c r="B11" s="14" t="inlineStr">
        <is>
          <t>學測不突出，但在某個方向有明確且獨特的積累</t>
        </is>
      </c>
      <c r="C11" s="17" t="n"/>
      <c r="D11" s="14" t="n"/>
    </row>
    <row r="12" ht="34" customFormat="1" customHeight="1" s="12">
      <c r="A12" s="14" t="inlineStr">
        <is>
          <t>特選</t>
        </is>
      </c>
      <c r="B12" s="14" t="inlineStr">
        <is>
          <t>能說清楚我的特殊性是什麼、為什麼這科系需要我</t>
        </is>
      </c>
      <c r="C12" s="17" t="n"/>
      <c r="D12" s="14" t="inlineStr">
        <is>
          <t>泛泛的多元通常不夠</t>
        </is>
      </c>
    </row>
    <row r="13" ht="34" customFormat="1" customHeight="1" s="12">
      <c r="A13" s="14" t="inlineStr">
        <is>
          <t>分科</t>
        </is>
      </c>
      <c r="B13" s="14" t="inlineStr">
        <is>
          <t>學測或分科成績在目標科系落點有把握</t>
        </is>
      </c>
      <c r="C13" s="17" t="n"/>
      <c r="D13" s="14" t="n"/>
    </row>
    <row r="14" ht="34" customFormat="1" customHeight="1" s="12">
      <c r="A14" s="14" t="inlineStr">
        <is>
          <t>分科</t>
        </is>
      </c>
      <c r="B14" s="14" t="inlineStr">
        <is>
          <t>科系方向較廣，不需要特定的備審方向</t>
        </is>
      </c>
      <c r="C14" s="17" t="n"/>
      <c r="D14" s="14" t="n"/>
    </row>
    <row r="15" ht="34" customFormat="1" customHeight="1" s="12">
      <c r="A15" s="14" t="inlineStr">
        <is>
          <t>分科</t>
        </is>
      </c>
      <c r="B15" s="14" t="inlineStr">
        <is>
          <t>時間有限，無法同時維持學科成績和準備備審</t>
        </is>
      </c>
      <c r="C15" s="17" t="n"/>
      <c r="D15" s="14" t="inlineStr">
        <is>
          <t>分發不是備用選項</t>
        </is>
      </c>
    </row>
    <row r="16" ht="34" customFormat="1" customHeight="1" s="12">
      <c r="A16" s="14" t="inlineStr">
        <is>
          <t>分科</t>
        </is>
      </c>
      <c r="B16" s="14" t="inlineStr">
        <is>
          <t>比起準備備審與面試，我更願意把時間投入在考科上</t>
        </is>
      </c>
      <c r="C16" s="17" t="n"/>
      <c r="D16" s="14" t="inlineStr">
        <is>
          <t>這題問意願，上一題問餘裕</t>
        </is>
      </c>
    </row>
    <row r="17" ht="40" customHeight="1" s="3">
      <c r="A17" s="12" t="n"/>
      <c r="B17" s="12" t="n"/>
      <c r="C17" s="12" t="n"/>
      <c r="D17" s="12" t="n"/>
    </row>
    <row r="18" ht="26" customHeight="1" s="3">
      <c r="A18" s="13" t="inlineStr">
        <is>
          <t>管道</t>
        </is>
      </c>
      <c r="B18" s="13" t="inlineStr">
        <is>
          <t>平均分數</t>
        </is>
      </c>
      <c r="C18" s="13" t="inlineStr">
        <is>
          <t>戰力（自動長出）</t>
        </is>
      </c>
      <c r="D18" s="12" t="n"/>
    </row>
    <row r="19" ht="24" customFormat="1" customHeight="1" s="1">
      <c r="A19" s="18" t="inlineStr">
        <is>
          <t>個申</t>
        </is>
      </c>
      <c r="B19" s="19">
        <f>IFERROR(AVERAGE(C5:C8),"")</f>
        <v/>
      </c>
      <c r="C19" s="20">
        <f>IF(COUNT(C5:C8)=0,"",REPT("█",ROUND(B19*4,0)))</f>
        <v/>
      </c>
      <c r="D19" s="21" t="n"/>
    </row>
    <row r="20" ht="24" customFormat="1" customHeight="1" s="1">
      <c r="A20" s="18" t="inlineStr">
        <is>
          <t>特選</t>
        </is>
      </c>
      <c r="B20" s="19">
        <f>IFERROR(AVERAGE(C9:C12),"")</f>
        <v/>
      </c>
      <c r="C20" s="20">
        <f>IF(COUNT(C9:C12)=0,"",REPT("█",ROUND(B20*4,0)))</f>
        <v/>
      </c>
      <c r="D20" s="21" t="n"/>
    </row>
    <row r="21" ht="24" customFormat="1" customHeight="1" s="1">
      <c r="A21" s="18" t="inlineStr">
        <is>
          <t>分科</t>
        </is>
      </c>
      <c r="B21" s="19">
        <f>IFERROR(AVERAGE(C13:C16),"")</f>
        <v/>
      </c>
      <c r="C21" s="20">
        <f>IF(COUNT(C13:C16)=0,"",REPT("█",ROUND(B21*4,0)))</f>
        <v/>
      </c>
      <c r="D21" s="21" t="n"/>
    </row>
    <row r="22" ht="22" customHeight="1" s="3">
      <c r="A22" s="12" t="n"/>
      <c r="B22" s="12" t="n"/>
      <c r="C22" s="12" t="n"/>
      <c r="D22" s="12" t="n"/>
    </row>
    <row r="23" ht="22" customHeight="1" s="3">
      <c r="A23" s="16" t="n"/>
      <c r="B23" s="12" t="n"/>
      <c r="C23" s="12" t="n"/>
      <c r="D23" s="12" t="n"/>
    </row>
    <row r="24">
      <c r="A24" s="4" t="n"/>
    </row>
    <row r="25" ht="23" customHeight="1" s="3">
      <c r="A25" s="5" t="inlineStr">
        <is>
          <r>
            <t xml:space="preserve"># </t>
          </r>
          <r>
            <rPr>
              <rFont val="Microsoft JhengHei"/>
              <charset val="136"/>
              <family val="1"/>
              <color rgb="FF333333"/>
              <sz val="16"/>
            </rPr>
            <t xml:space="preserve">搭配文章：個申、特選、分科怎麼選？三種升學管道完整比較　</t>
          </r>
          <r>
            <rPr>
              <rFont val="Courier New"/>
              <family val="1"/>
              <color rgb="FF333333"/>
              <sz val="16"/>
            </rPr>
            <t>https://tbd-edu.com/pages/resources/admission-channels-compare.html</t>
          </r>
        </is>
      </c>
    </row>
    <row r="26" ht="22" customHeight="1" s="3">
      <c r="A26" s="5" t="inlineStr">
        <is>
          <t># TBD Studio ｜ https://tbd-edu.com/</t>
        </is>
      </c>
    </row>
  </sheetData>
  <dataValidations count="1">
    <dataValidation sqref="C5:C16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2026-08-30T15:57:29Z</dcterms:created>
  <dcterms:modified xmlns:dcterms="http://purl.org/dc/terms/" xmlns:xsi="http://www.w3.org/2001/XMLSchema-instance" xsi:type="dcterms:W3CDTF">2026-09-24T14:04:39Z</dcterms:modified>
  <cp:lastModifiedBy>TBD Studio</cp:lastModifiedBy>
</cp:coreProperties>
</file>