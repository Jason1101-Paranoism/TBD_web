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6880" tabRatio="600" firstSheet="0" activeTab="4" autoFilterDateGrouping="1"/>
  </bookViews>
  <sheets>
    <sheet xmlns:r="http://schemas.openxmlformats.org/officeDocument/2006/relationships" name="先讀這裡" sheetId="1" state="visible" r:id="rId1"/>
    <sheet xmlns:r="http://schemas.openxmlformats.org/officeDocument/2006/relationships" name="題庫與素材" sheetId="2" state="visible" r:id="rId2"/>
    <sheet xmlns:r="http://schemas.openxmlformats.org/officeDocument/2006/relationships" name="檢核表" sheetId="3" state="visible" r:id="rId3"/>
    <sheet xmlns:r="http://schemas.openxmlformats.org/officeDocument/2006/relationships" name="我到哪了" sheetId="4" state="visible" r:id="rId4"/>
    <sheet xmlns:r="http://schemas.openxmlformats.org/officeDocument/2006/relationships" name="模擬追問紀錄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新細明體"/>
      <family val="2"/>
      <color theme="1"/>
      <sz val="11"/>
      <scheme val="minor"/>
    </font>
    <font>
      <name val="Arial"/>
      <family val="2"/>
      <b val="1"/>
      <color rgb="FF1F3A5F"/>
      <sz val="24"/>
    </font>
    <font>
      <name val="Arial"/>
      <family val="2"/>
      <color rgb="FF3F5674"/>
      <sz val="16"/>
    </font>
    <font>
      <name val="Arial"/>
      <family val="2"/>
      <b val="1"/>
      <color rgb="FF1F3A5F"/>
      <sz val="16"/>
    </font>
    <font>
      <name val="Arial"/>
      <family val="2"/>
      <b val="1"/>
      <color rgb="FFFFFFFF"/>
      <sz val="16"/>
    </font>
    <font>
      <name val="Arial"/>
      <family val="2"/>
      <color rgb="FF6D8098"/>
      <sz val="16"/>
    </font>
    <font>
      <name val="Arial"/>
      <family val="2"/>
      <b val="1"/>
      <color rgb="FFA54E3D"/>
      <sz val="16"/>
    </font>
    <font>
      <name val="Arial"/>
      <family val="2"/>
      <sz val="16"/>
    </font>
    <font>
      <name val="Courier New"/>
      <family val="1"/>
      <color theme="1" tint="0.3499862666707358"/>
      <sz val="16"/>
    </font>
    <font>
      <name val="新細明體"/>
      <charset val="136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E4EAF2"/>
      </patternFill>
    </fill>
    <fill>
      <patternFill patternType="solid">
        <fgColor rgb="FF1F3A5F"/>
      </patternFill>
    </fill>
    <fill>
      <patternFill patternType="solid">
        <fgColor rgb="FFFFF6D9"/>
      </patternFill>
    </fill>
  </fills>
  <borders count="5">
    <border>
      <left/>
      <right/>
      <top/>
      <bottom/>
      <diagonal/>
    </border>
    <border>
      <left style="thin">
        <color rgb="FFC8D2DE"/>
      </left>
      <right style="thin">
        <color rgb="FFC8D2DE"/>
      </right>
      <top style="thin">
        <color rgb="FFC8D2DE"/>
      </top>
      <bottom style="thin">
        <color rgb="FFC8D2DE"/>
      </bottom>
      <diagonal/>
    </border>
    <border>
      <left/>
      <right/>
      <top/>
      <bottom/>
      <diagonal/>
    </border>
    <border>
      <left/>
      <right/>
      <top/>
      <bottom style="thin">
        <color rgb="FFC8D2DE"/>
      </bottom>
      <diagonal/>
    </border>
    <border>
      <left/>
      <right/>
      <top style="thin">
        <color rgb="FFC8D2DE"/>
      </top>
      <bottom/>
      <diagonal/>
    </border>
  </borders>
  <cellStyleXfs count="1">
    <xf numFmtId="0" fontId="0" fillId="0" borderId="2"/>
  </cellStyleXfs>
  <cellXfs count="25">
    <xf numFmtId="0" fontId="0" fillId="0" borderId="0" pivotButton="0" quotePrefix="0" xfId="0"/>
    <xf numFmtId="0" fontId="3" fillId="2" borderId="0" pivotButton="0" quotePrefix="0" xfId="0"/>
    <xf numFmtId="0" fontId="1" fillId="0" borderId="0" applyAlignment="1" pivotButton="0" quotePrefix="0" xfId="0">
      <alignment horizontal="left"/>
    </xf>
    <xf numFmtId="0" fontId="4" fillId="3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top" wrapText="1"/>
    </xf>
    <xf numFmtId="0" fontId="8" fillId="0" borderId="2" applyAlignment="1" pivotButton="0" quotePrefix="0" xfId="0">
      <alignment vertical="center"/>
    </xf>
    <xf numFmtId="0" fontId="7" fillId="4" borderId="1" applyAlignment="1" pivotButton="0" quotePrefix="0" xfId="0">
      <alignment vertical="top" wrapText="1"/>
    </xf>
    <xf numFmtId="9" fontId="7" fillId="0" borderId="1" applyAlignment="1" pivotButton="0" quotePrefix="0" xfId="0">
      <alignment vertical="top" wrapText="1"/>
    </xf>
    <xf numFmtId="14" fontId="7" fillId="4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0" fillId="0" borderId="0" pivotButton="0" quotePrefix="0" xfId="0"/>
    <xf numFmtId="0" fontId="5" fillId="0" borderId="2" applyAlignment="1" pivotButton="0" quotePrefix="0" xfId="0">
      <alignment horizontal="left" vertical="top" wrapText="1"/>
    </xf>
    <xf numFmtId="0" fontId="6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7" fillId="0" borderId="3" applyAlignment="1" pivotButton="0" quotePrefix="0" xfId="0">
      <alignment horizontal="left" vertical="top" wrapText="1"/>
    </xf>
    <xf numFmtId="0" fontId="5" fillId="0" borderId="4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7" fillId="0" borderId="2" applyAlignment="1" pivotButton="0" quotePrefix="0" xfId="0">
      <alignment vertical="top" wrapText="1"/>
    </xf>
    <xf numFmtId="0" fontId="7" fillId="4" borderId="2" applyAlignment="1" pivotButton="0" quotePrefix="0" xfId="0">
      <alignment vertical="top" wrapText="1"/>
    </xf>
    <xf numFmtId="0" fontId="2" fillId="0" borderId="2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  <xf numFmtId="0" fontId="7" fillId="0" borderId="2" applyAlignment="1" pivotButton="0" quotePrefix="0" xfId="0">
      <alignment horizontal="left" vertical="top" wrapText="1"/>
    </xf>
    <xf numFmtId="0" fontId="6" fillId="0" borderId="2" applyAlignment="1" pivotButton="0" quotePrefix="0" xfId="0">
      <alignment vertical="top" wrapText="1"/>
    </xf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4"/>
  <sheetViews>
    <sheetView showGridLines="0" zoomScale="75" workbookViewId="0">
      <pane ySplit="2" topLeftCell="A98" activePane="bottomLeft" state="frozen"/>
      <selection pane="bottomLeft" activeCell="A105" sqref="A105"/>
    </sheetView>
  </sheetViews>
  <sheetFormatPr baseColWidth="10" defaultColWidth="9" defaultRowHeight="14"/>
  <cols>
    <col width="87.796875" customWidth="1" style="14" min="1" max="1"/>
    <col width="75.59765625" customWidth="1" style="14" min="2" max="2"/>
    <col width="80.796875" customWidth="1" style="14" min="3" max="3"/>
    <col width="14" customWidth="1" style="14" min="4" max="4"/>
    <col width="12" customWidth="1" style="14" min="5" max="6"/>
  </cols>
  <sheetData>
    <row r="1" ht="30" customHeight="1" s="14">
      <c r="A1" s="2" t="inlineStr">
        <is>
          <t>法政｜口試自我檢核表：立場論證與反駁　v1</t>
        </is>
      </c>
    </row>
    <row r="2" ht="28" customHeight="1" s="14">
      <c r="A2" s="20" t="inlineStr">
        <is>
          <t>先讀這頁，大約7分鐘。這份工具有五個分頁，主體是題庫與打勾。</t>
        </is>
      </c>
    </row>
    <row r="3" ht="40" customHeight="1" s="14"/>
    <row r="4" ht="24" customHeight="1" s="14">
      <c r="A4" s="1" t="inlineStr">
        <is>
          <t>這份表是什麼、不是什麼</t>
        </is>
      </c>
    </row>
    <row r="5" ht="26" customHeight="1" s="14">
      <c r="A5" s="3" t="inlineStr">
        <is>
          <t>它是</t>
        </is>
      </c>
      <c r="B5" s="3" t="inlineStr">
        <is>
          <t>它不是</t>
        </is>
      </c>
    </row>
    <row r="6" ht="48" customHeight="1" s="14">
      <c r="A6" s="4" t="inlineStr">
        <is>
          <t>一面鏡子。照出你的立場能不能被論證、被反駁之後還維持一致，哪些題目還答不出來。</t>
        </is>
      </c>
      <c r="B6" s="4" t="inlineStr">
        <is>
          <t>辯論賽的備戰表。教授刻意提出反方觀點不是要考倒你，是要確認你真的理解自己選的立場。</t>
        </is>
      </c>
    </row>
    <row r="7" ht="32" customHeight="1" s="14">
      <c r="A7" s="4" t="inlineStr">
        <is>
          <t>一次二十分鐘就做得完的自我盤點。</t>
        </is>
      </c>
      <c r="B7" s="4" t="inlineStr">
        <is>
          <t>口才訓練。這裡不教你怎麼講，只告訴你哪一題還沒想通。</t>
        </is>
      </c>
    </row>
    <row r="8" ht="48" customHeight="1" s="14">
      <c r="A8" s="4" t="inlineStr">
        <is>
          <t>可以重複用的。每模擬一次口試就回來打一次。</t>
        </is>
      </c>
      <c r="B8" s="4" t="inlineStr">
        <is>
          <t>一次性的清單。全部打完勾不是終點，是可以上場的起點。</t>
        </is>
      </c>
    </row>
    <row r="9" ht="40" customHeight="1" s="14"/>
    <row r="10" ht="24" customHeight="1" s="14">
      <c r="A10" s="1" t="inlineStr">
        <is>
          <t>法政口試在測什麼</t>
        </is>
      </c>
    </row>
    <row r="11" ht="48" customHeight="1" s="14">
      <c r="A11" s="15" t="inlineStr">
        <is>
          <t>法政的研究問題往往沒有絕對正確的答案——規範應該怎麼設計、制度為什麼這樣運作、價值衝突如何權衡，這些問題本身就是可辯論的。所以教授追問的重點會落在五個地方。</t>
        </is>
      </c>
      <c r="B11" s="21" t="n"/>
    </row>
    <row r="12" ht="26" customHeight="1" s="14">
      <c r="A12" s="3" t="inlineStr">
        <is>
          <t>測的面向</t>
        </is>
      </c>
      <c r="B12" s="3" t="inlineStr">
        <is>
          <t>教授的問題</t>
        </is>
      </c>
    </row>
    <row r="13" ht="32" customHeight="1" s="14">
      <c r="A13" s="4" t="inlineStr">
        <is>
          <t>核心立場</t>
        </is>
      </c>
      <c r="B13" s="4" t="inlineStr">
        <is>
          <t>你選了哪一邊？為什麼？</t>
        </is>
      </c>
    </row>
    <row r="14" ht="32" customHeight="1" s="14">
      <c r="A14" s="4" t="inlineStr">
        <is>
          <t>推論一致性</t>
        </is>
      </c>
      <c r="B14" s="4" t="inlineStr">
        <is>
          <t>前面說的和後面說的對不對得上？</t>
        </is>
      </c>
    </row>
    <row r="15" ht="32" customHeight="1" s="14">
      <c r="A15" s="4" t="inlineStr">
        <is>
          <t>理論依據</t>
        </is>
      </c>
      <c r="B15" s="4" t="inlineStr">
        <is>
          <t>這個立場建立在什麼基礎上？</t>
        </is>
      </c>
    </row>
    <row r="16" ht="32" customHeight="1" s="14">
      <c r="A16" s="4" t="inlineStr">
        <is>
          <t>研究限制</t>
        </is>
      </c>
      <c r="B16" s="4" t="inlineStr">
        <is>
          <t>你的方法答不了什麼，你知道嗎？</t>
        </is>
      </c>
    </row>
    <row r="17" ht="32" customHeight="1" s="14">
      <c r="A17" s="4" t="inlineStr">
        <is>
          <t>回應反駁的能力</t>
        </is>
      </c>
      <c r="B17" s="4" t="inlineStr">
        <is>
          <t>被指出問題時，你怎麼處理？</t>
        </is>
      </c>
    </row>
    <row r="18" ht="75" customHeight="1" s="14">
      <c r="A18" s="16" t="inlineStr">
        <is>
          <t>口試不是在測你能不能辯贏，是在測你有沒有學術誠實、邏輯穩定、理性對話、修正研究的能力。一個只讀過單邊文獻的人，被問到對立理論時會當場空白；一個真的想過的人，知道對方最強的論據是什麼，也知道自己為什麼仍然選擇這一邊。</t>
        </is>
      </c>
      <c r="B18" s="22" t="n"/>
    </row>
    <row r="19" ht="40" customHeight="1" s="14"/>
    <row r="20" ht="24" customHeight="1" s="14">
      <c r="A20" s="1" t="inlineStr">
        <is>
          <t>一分鐘立場說明</t>
        </is>
      </c>
    </row>
    <row r="21" ht="48" customHeight="1" s="14">
      <c r="A21" s="23" t="inlineStr">
        <is>
          <t>進場後最可能被問的第一題是某種形式的「請簡單說明你的研究」。這一分鐘決定了接下來所有追問的方向，值得寫下來、念出來、計時練習。五個段落在「題庫與素材」分頁第三節。</t>
        </is>
      </c>
    </row>
    <row r="22" ht="40" customHeight="1" s="14"/>
    <row r="23" ht="26" customHeight="1" s="14">
      <c r="A23" s="3" t="inlineStr">
        <is>
          <t>三個檢核</t>
        </is>
      </c>
      <c r="B23" s="3" t="inlineStr">
        <is>
          <t>為什麼</t>
        </is>
      </c>
    </row>
    <row r="24" ht="32" customHeight="1" s="14">
      <c r="A24" s="4" t="inlineStr">
        <is>
          <t>全部念完在 60-90 秒之內</t>
        </is>
      </c>
      <c r="B24" s="4" t="inlineStr">
        <is>
          <t>超過就是還沒收斂。</t>
        </is>
      </c>
    </row>
    <row r="25" ht="32" customHeight="1" s="14">
      <c r="A25" s="4" t="inlineStr">
        <is>
          <t>沒有背稿感，被打斷之後接得回來</t>
        </is>
      </c>
      <c r="B25" s="4" t="inlineStr">
        <is>
          <t>逐字稿一被打斷就斷。</t>
        </is>
      </c>
    </row>
    <row r="26" ht="48" customHeight="1" s="14">
      <c r="A26" s="4" t="inlineStr">
        <is>
          <t>我的立場是一個「可以被反對」的主張</t>
        </is>
      </c>
      <c r="B26" s="4" t="inlineStr">
        <is>
          <t>「這個議題很重要，應該受到重視」沒有人會反對——也沒有人會覺得你在做研究。</t>
        </is>
      </c>
    </row>
    <row r="27" ht="40" customHeight="1" s="14"/>
    <row r="28" ht="24" customHeight="1" s="14">
      <c r="A28" s="1" t="inlineStr">
        <is>
          <t>六步答題框架</t>
        </is>
      </c>
    </row>
    <row r="29" ht="26" customHeight="1" s="14">
      <c r="A29" s="3" t="inlineStr">
        <is>
          <t>步驟</t>
        </is>
      </c>
      <c r="B29" s="3" t="inlineStr">
        <is>
          <t>作用</t>
        </is>
      </c>
    </row>
    <row r="30" ht="65" customHeight="1" s="14">
      <c r="A30" s="4" t="inlineStr">
        <is>
          <t>1 確認問題</t>
        </is>
      </c>
      <c r="B30" s="4" t="inlineStr">
        <is>
          <t>「老師的意思是，如果從＿＿的角度來看，我的推論會有問題，是嗎？」五秒，確認沒答錯方向，也爭取思考時間。</t>
        </is>
      </c>
    </row>
    <row r="31" ht="65" customHeight="1" s="14">
      <c r="A31" s="4" t="inlineStr">
        <is>
          <t>2 表明核心立場</t>
        </is>
      </c>
      <c r="B31" s="4" t="inlineStr">
        <is>
          <t>不迴避、不模糊。教授最怕聽了兩分鐘還不知道你站哪邊。</t>
        </is>
      </c>
    </row>
    <row r="32" ht="65" customHeight="1" s="14">
      <c r="A32" s="4" t="inlineStr">
        <is>
          <t>3 提供理論或資料依據</t>
        </is>
      </c>
      <c r="B32" s="4" t="inlineStr">
        <is>
          <t>把「意見」變成「論證」的一步。</t>
        </is>
      </c>
    </row>
    <row r="33" ht="65" customHeight="1" s="14">
      <c r="A33" s="4" t="inlineStr">
        <is>
          <t>4 說明限制</t>
        </is>
      </c>
      <c r="B33" s="4" t="inlineStr">
        <is>
          <t>主動承認你的方法答不了什麼。最違反直覺，卻最有效。</t>
        </is>
      </c>
    </row>
    <row r="34" ht="65" customHeight="1" s="14">
      <c r="A34" s="4" t="inlineStr">
        <is>
          <t>5 回應反例</t>
        </is>
      </c>
      <c r="B34" s="4" t="inlineStr">
        <is>
          <t>正面處理教授提出的情況，不要繞開。他知道你在繞。</t>
        </is>
      </c>
    </row>
    <row r="35" ht="65" customHeight="1" s="14">
      <c r="A35" s="4" t="inlineStr">
        <is>
          <t>6 提出修正範圍</t>
        </is>
      </c>
      <c r="B35" s="4" t="inlineStr">
        <is>
          <t>哪些可以調整、哪些是核心不動。</t>
        </is>
      </c>
    </row>
    <row r="36" ht="40" customHeight="1" s="14"/>
    <row r="37" ht="24" customHeight="1" s="14">
      <c r="A37" s="1" t="inlineStr">
        <is>
          <t>被指出矛盾時：分清楚兩種東西</t>
        </is>
      </c>
    </row>
    <row r="38" ht="26" customHeight="1" s="14">
      <c r="A38" s="3" t="inlineStr">
        <is>
          <t>類型</t>
        </is>
      </c>
      <c r="B38" s="3" t="inlineStr">
        <is>
          <t>例子</t>
        </is>
      </c>
      <c r="C38" s="3" t="inlineStr">
        <is>
          <t>正確的回應</t>
        </is>
      </c>
    </row>
    <row r="39" ht="48" customHeight="1" s="14">
      <c r="A39" s="4" t="inlineStr">
        <is>
          <t>可以修正的技術細節</t>
        </is>
      </c>
      <c r="B39" s="4" t="inlineStr">
        <is>
          <t>樣本範圍、時間界定、比較對象、文獻補充</t>
        </is>
      </c>
      <c r="C39" s="4" t="inlineStr">
        <is>
          <t>承認質疑有效 → 說明原本的理由 → 提出具體調整 → 說明怎麼驗證。</t>
        </is>
      </c>
    </row>
    <row r="40" ht="48" customHeight="1" s="14">
      <c r="A40" s="4" t="inlineStr">
        <is>
          <t>動了就不是這個研究的核心立場</t>
        </is>
      </c>
      <c r="B40" s="4" t="inlineStr">
        <is>
          <t>問題意識、理論取徑、根本的價值判斷</t>
        </is>
      </c>
      <c r="C40" s="4" t="inlineStr">
        <is>
          <t>不是改，而是說清楚你為什麼選這一邊，以及你知道代價是什麼。</t>
        </is>
      </c>
    </row>
    <row r="41" ht="48" customHeight="1" s="14">
      <c r="A41" s="11" t="inlineStr">
        <is>
          <t>「我理解這個取徑會犧牲掉某某面向的解釋力。我選擇它是因為我的研究問題主要關心的是＿＿，而在這個層面上它的解釋力較強。如果要處理老師提到的面向，我認為那會是另一個研究。」這種回答顯示的正是教授想看到的：你知道自己在取捨什麼。</t>
        </is>
      </c>
    </row>
    <row r="42" ht="40" customHeight="1" s="14"/>
    <row r="43" ht="24" customHeight="1" s="14">
      <c r="A43" s="1" t="inlineStr">
        <is>
          <t>三種不該出現的反應</t>
        </is>
      </c>
    </row>
    <row r="44" ht="26" customHeight="1" s="14">
      <c r="A44" s="3" t="inlineStr">
        <is>
          <t>反應</t>
        </is>
      </c>
      <c r="B44" s="3" t="inlineStr">
        <is>
          <t>為什麼不行</t>
        </is>
      </c>
    </row>
    <row r="45" ht="53" customHeight="1" s="14">
      <c r="A45" s="4" t="inlineStr">
        <is>
          <t>硬凹到底，把口試當辯論賽要贏</t>
        </is>
      </c>
      <c r="B45" s="4" t="inlineStr">
        <is>
          <t>法政學生特別容易犯，因為受過論辯訓練。但這裡不是模擬法庭，教授不是對造。</t>
        </is>
      </c>
    </row>
    <row r="46" ht="53" customHeight="1" s="14">
      <c r="A46" s="4" t="inlineStr">
        <is>
          <t>立刻全面棄守，一被問就說「老師說得對，我會全部改」</t>
        </is>
      </c>
      <c r="B46" s="4" t="inlineStr">
        <is>
          <t>代表你原本的立場沒有想過——比答錯更糟。</t>
        </is>
      </c>
    </row>
    <row r="47" ht="53" customHeight="1" s="14">
      <c r="A47" s="4" t="inlineStr">
        <is>
          <t>情緒化表述，用價值宣稱代替論證</t>
        </is>
      </c>
      <c r="B47" s="4" t="inlineStr">
        <is>
          <t>「我覺得這樣才是正義的」。法政研究處理價值問題，但處理的方式是論證，不是表態。</t>
        </is>
      </c>
    </row>
    <row r="48" ht="40" customHeight="1" s="14"/>
    <row r="49" ht="24" customHeight="1" s="14">
      <c r="A49" s="1" t="inlineStr">
        <is>
          <t>什麼時候用，可以用幾次</t>
        </is>
      </c>
    </row>
    <row r="50" ht="32" customHeight="1" s="14">
      <c r="A50" s="18" t="inlineStr">
        <is>
          <t>送件之後就可以開始打第一次，那時候題庫會有一半是空的，那正是它的用途。之後每做一次模擬追問就回來打一次，上場前一天再走最後一遍。</t>
        </is>
      </c>
    </row>
    <row r="51" ht="40" customHeight="1" s="14"/>
    <row r="52" ht="24" customHeight="1" s="14">
      <c r="A52" s="1" t="inlineStr">
        <is>
          <t>五個分頁的分工</t>
        </is>
      </c>
    </row>
    <row r="53" ht="26" customHeight="1" s="14">
      <c r="A53" s="3" t="inlineStr">
        <is>
          <t>分頁</t>
        </is>
      </c>
      <c r="B53" s="3" t="inlineStr">
        <is>
          <t>做什麼</t>
        </is>
      </c>
    </row>
    <row r="54" ht="60" customHeight="1" s="14">
      <c r="A54" s="4" t="inlineStr">
        <is>
          <t>先讀這裡</t>
        </is>
      </c>
      <c r="B54" s="4" t="inlineStr">
        <is>
          <t>你正在讀的這頁。教授在測什麼、六步框架、怎麼打勾、卡關怎麼辦。</t>
        </is>
      </c>
    </row>
    <row r="55" ht="60" customHeight="1" s="14">
      <c r="A55" s="4" t="inlineStr">
        <is>
          <t>題庫與素材</t>
        </is>
      </c>
      <c r="B55" s="4" t="inlineStr">
        <is>
          <t>要動手的地方。十九題各寫關鍵字並打兩個勾，再填六步框架、一分鐘立場、最強反方、被指出矛盾時的句型。</t>
        </is>
      </c>
    </row>
    <row r="56" ht="60" customHeight="1" s="14">
      <c r="A56" s="4" t="inlineStr">
        <is>
          <t>檢核表</t>
        </is>
      </c>
      <c r="B56" s="4" t="inlineStr">
        <is>
          <t>5 區共 29 項，逐項打勾。每一項旁邊都寫好了沒打勾的話下一步做什麼。</t>
        </is>
      </c>
    </row>
    <row r="57" ht="60" customHeight="1" s="14">
      <c r="A57" s="4" t="inlineStr">
        <is>
          <t>我到哪了</t>
        </is>
      </c>
      <c r="B57" s="4" t="inlineStr">
        <is>
          <t>打完之後看這頁。7 區完成度與還沒打勾的數量。</t>
        </is>
      </c>
    </row>
    <row r="58" ht="60" customHeight="1" s="14">
      <c r="A58" s="4" t="inlineStr">
        <is>
          <t>模擬追問紀錄</t>
        </is>
      </c>
      <c r="B58" s="4" t="inlineStr">
        <is>
          <t>每找人模擬一次就記一列。被問倒或推論斷掉的地方就是接下來要補的，不用寫得漂亮。</t>
        </is>
      </c>
    </row>
    <row r="59" ht="40" customHeight="1" s="14"/>
    <row r="60" ht="24" customHeight="1" s="14">
      <c r="A60" s="1" t="inlineStr">
        <is>
          <t>四個步驟</t>
        </is>
      </c>
    </row>
    <row r="61" ht="26" customHeight="1" s="14">
      <c r="A61" s="3" t="inlineStr">
        <is>
          <t>步驟</t>
        </is>
      </c>
      <c r="B61" s="3" t="inlineStr">
        <is>
          <t>做什麼</t>
        </is>
      </c>
    </row>
    <row r="62" ht="65" customHeight="1" s="14">
      <c r="A62" s="4" t="inlineStr">
        <is>
          <t>第 1 步</t>
        </is>
      </c>
      <c r="B62" s="4" t="inlineStr">
        <is>
          <t>切到「題庫與素材」分頁，十九題先寫關鍵字（不要寫逐字稿，逐字稿會讓你在被打斷時卡住）。寫得出來就勾「寫出答案」。</t>
        </is>
      </c>
    </row>
    <row r="63" ht="65" customHeight="1" s="14">
      <c r="A63" s="4" t="inlineStr">
        <is>
          <t>第 2 步</t>
        </is>
      </c>
      <c r="B63" s="4" t="inlineStr">
        <is>
          <t>填一分鐘立場說明的五段、兩個最強反方、被指出矛盾時的句型。</t>
        </is>
      </c>
    </row>
    <row r="64" ht="65" customHeight="1" s="14">
      <c r="A64" s="4" t="inlineStr">
        <is>
          <t>第 3 步</t>
        </is>
      </c>
      <c r="B64" s="4" t="inlineStr">
        <is>
          <t>找人從反方立場連問幾輪，講得出來的題目勾「練過口說」。再切到「檢核表」5 區打勾。</t>
        </is>
      </c>
    </row>
    <row r="65" ht="65" customHeight="1" s="14">
      <c r="A65" s="4" t="inlineStr">
        <is>
          <t>第 4 步</t>
        </is>
      </c>
      <c r="B65" s="4" t="inlineStr">
        <is>
          <t>切到「我到哪了」看哪一區最短，回頭補沒打勾的那幾項。</t>
        </is>
      </c>
    </row>
    <row r="66" ht="40" customHeight="1" s="14"/>
    <row r="67" ht="24" customHeight="1" s="14">
      <c r="A67" s="1" t="inlineStr">
        <is>
          <t>七個區塊各在檢查什麼</t>
        </is>
      </c>
    </row>
    <row r="68" ht="26" customHeight="1" s="14">
      <c r="A68" s="3" t="inlineStr">
        <is>
          <t>區塊</t>
        </is>
      </c>
      <c r="B68" s="3" t="inlineStr">
        <is>
          <t>幾項</t>
        </is>
      </c>
      <c r="C68" s="3" t="inlineStr">
        <is>
          <t>在檢查什麼</t>
        </is>
      </c>
    </row>
    <row r="69" ht="32" customHeight="1" s="14">
      <c r="A69" s="4" t="inlineStr">
        <is>
          <t>題庫：寫出答案</t>
        </is>
      </c>
      <c r="B69" s="4" t="inlineStr">
        <is>
          <t>19</t>
        </is>
      </c>
      <c r="C69" s="4" t="inlineStr">
        <is>
          <t>四類追問十九題，寫得出關鍵字了沒。</t>
        </is>
      </c>
    </row>
    <row r="70" ht="48" customHeight="1" s="14">
      <c r="A70" s="4" t="inlineStr">
        <is>
          <t>題庫：練過口說</t>
        </is>
      </c>
      <c r="B70" s="4" t="inlineStr">
        <is>
          <t>19</t>
        </is>
      </c>
      <c r="C70" s="4" t="inlineStr">
        <is>
          <t>同樣十九題，被從反方追問時講得出來了沒。</t>
        </is>
      </c>
    </row>
    <row r="71" ht="48" customHeight="1" s="14">
      <c r="A71" s="4" t="inlineStr">
        <is>
          <t>開場：一分鐘立場說明</t>
        </is>
      </c>
      <c r="B71" s="4" t="inlineStr">
        <is>
          <t>4</t>
        </is>
      </c>
      <c r="C71" s="4" t="inlineStr">
        <is>
          <t>60-90 秒內講完、立場可以被反對、被打斷接得回來。</t>
        </is>
      </c>
    </row>
    <row r="72" ht="48" customHeight="1" s="14">
      <c r="A72" s="4" t="inlineStr">
        <is>
          <t>最強反方與推論一致性</t>
        </is>
      </c>
      <c r="B72" s="4" t="inlineStr">
        <is>
          <t>5</t>
        </is>
      </c>
      <c r="C72" s="4" t="inlineStr">
        <is>
          <t>知不知道對方最強的論據、哪些反例會動搖結論。</t>
        </is>
      </c>
    </row>
    <row r="73" ht="48" customHeight="1" s="14">
      <c r="A73" s="4" t="inlineStr">
        <is>
          <t>被質疑或問到不會回答時</t>
        </is>
      </c>
      <c r="B73" s="4" t="inlineStr">
        <is>
          <t>5</t>
        </is>
      </c>
      <c r="C73" s="4" t="inlineStr">
        <is>
          <t>六步練過了沒，有沒有硬凹、棄守或情緒化。</t>
        </is>
      </c>
    </row>
    <row r="74" ht="48" customHeight="1" s="14">
      <c r="A74" s="4" t="inlineStr">
        <is>
          <t>上場前檢核</t>
        </is>
      </c>
      <c r="B74" s="4" t="inlineStr">
        <is>
          <t>8</t>
        </is>
      </c>
      <c r="C74" s="4" t="inlineStr">
        <is>
          <t>最後那道閘門。這八項沒到就還不能上場。</t>
        </is>
      </c>
    </row>
    <row r="75" ht="48" customHeight="1" s="14">
      <c r="A75" s="4" t="inlineStr">
        <is>
          <t>常見失分點</t>
        </is>
      </c>
      <c r="B75" s="4" t="inlineStr">
        <is>
          <t>7</t>
        </is>
      </c>
      <c r="C75" s="4" t="inlineStr">
        <is>
          <t>有沒有踩到最常見的七個失分回答。</t>
        </is>
      </c>
    </row>
    <row r="76" ht="40" customHeight="1" s="14"/>
    <row r="77" ht="24" customHeight="1" s="14">
      <c r="A77" s="1" t="inlineStr">
        <is>
          <t>什麼情況才算 ✓</t>
        </is>
      </c>
    </row>
    <row r="78" ht="31" customHeight="1" s="14">
      <c r="A78" s="18" t="inlineStr">
        <is>
          <t>打勾之前先問自己一句：如果委員現在從反方立場追問，我能不能不用查資料，直接說明立場、依據、限制與可修正的範圍。講得出來才算 ✓，覺得「應該會吧」不算。</t>
        </is>
      </c>
    </row>
    <row r="79" ht="32" customHeight="1" s="14">
      <c r="A79" s="18" t="inlineStr">
        <is>
          <t>這張表只有你自己會看。寬鬆給分唯一的效果，是讓你在口試現場才發現缺口。留白不是失敗，留白就是你接下來的工作清單。</t>
        </is>
      </c>
    </row>
    <row r="80" ht="32" customHeight="1" s="14">
      <c r="A80" s="24" t="inlineStr">
        <is>
          <t>「常見失分點」那一區的語意是相反的：✓ 代表「我確認自己不會這樣答」。表頭上有標。</t>
        </is>
      </c>
    </row>
    <row r="81" ht="40" customHeight="1" s="14"/>
    <row r="82" ht="24" customHeight="1" s="14">
      <c r="A82" s="1" t="inlineStr">
        <is>
          <t>結果怎麼看</t>
        </is>
      </c>
    </row>
    <row r="83" ht="26" customHeight="1" s="14">
      <c r="A83" s="3" t="inlineStr">
        <is>
          <t>你看到的</t>
        </is>
      </c>
      <c r="B83" s="3" t="inlineStr">
        <is>
          <t>代表什麼</t>
        </is>
      </c>
      <c r="C83" s="3" t="inlineStr">
        <is>
          <t>接下來</t>
        </is>
      </c>
    </row>
    <row r="84" ht="40" customHeight="1" s="14">
      <c r="A84" s="4" t="inlineStr">
        <is>
          <t>幾乎全空</t>
        </is>
      </c>
      <c r="B84" s="4" t="inlineStr">
        <is>
          <t>這不是壞消息，這是你現在的起點。</t>
        </is>
      </c>
      <c r="C84" s="4" t="inlineStr">
        <is>
          <t>從「上場前檢核」那八項往回推，一項對應一件要做的事。</t>
        </is>
      </c>
    </row>
    <row r="85" ht="40" customHeight="1" s="14">
      <c r="A85" s="4" t="inlineStr">
        <is>
          <t>寫出答案滿了，練過口說很空</t>
        </is>
      </c>
      <c r="B85" s="4" t="inlineStr">
        <is>
          <t>你想通了，但還沒被反方追問過。</t>
        </is>
      </c>
      <c r="C85" s="4" t="inlineStr">
        <is>
          <t>找學長姐、同學或顧問扮演反方，用質疑的語氣連問幾輪。</t>
        </is>
      </c>
    </row>
    <row r="86" ht="40" customHeight="1" s="14">
      <c r="A86" s="4" t="inlineStr">
        <is>
          <t>立場與理論那五題空著</t>
        </is>
      </c>
      <c r="B86" s="4" t="inlineStr">
        <is>
          <t>只讀過單邊文獻，被問到對立理論會當場空白。</t>
        </is>
      </c>
      <c r="C86" s="4" t="inlineStr">
        <is>
          <t>回題庫與素材第四節，先把兩個最強反方寫出來。</t>
        </is>
      </c>
    </row>
    <row r="87" ht="40" customHeight="1" s="14">
      <c r="A87" s="4" t="inlineStr">
        <is>
          <t>方法與資料那五題空著</t>
        </is>
      </c>
      <c r="B87" s="4" t="inlineStr">
        <is>
          <t>計畫最容易被攻的地方沒有防守。</t>
        </is>
      </c>
      <c r="C87" s="4" t="inlineStr">
        <is>
          <t>先想清楚選材標準、選擇偏誤、拿不到資料的替代方案。</t>
        </is>
      </c>
    </row>
    <row r="88" ht="40" customHeight="1" s="14">
      <c r="A88" s="4" t="inlineStr">
        <is>
          <t>上場前檢核沒滿</t>
        </is>
      </c>
      <c r="B88" s="4" t="inlineStr">
        <is>
          <t>還不能上場。</t>
        </is>
      </c>
      <c r="C88" s="4" t="inlineStr">
        <is>
          <t>先補那八項，其他區暫時放著。</t>
        </is>
      </c>
    </row>
    <row r="89" ht="40" customHeight="1" s="14">
      <c r="A89" s="4" t="inlineStr">
        <is>
          <t>67 項全滿</t>
        </is>
      </c>
      <c r="B89" s="4" t="inlineStr">
        <is>
          <t>準備到位了。</t>
        </is>
      </c>
      <c r="C89" s="4" t="inlineStr">
        <is>
          <t>口試前一天再對著人講一次一分鐘立場說明，計時。</t>
        </is>
      </c>
    </row>
    <row r="90" ht="40" customHeight="1" s="14"/>
    <row r="91" ht="24" customHeight="1" s="14">
      <c r="A91" s="1" t="inlineStr">
        <is>
          <t>沒打勾的，去哪裡補</t>
        </is>
      </c>
    </row>
    <row r="92" ht="26" customHeight="1" s="14">
      <c r="A92" s="3" t="inlineStr">
        <is>
          <t>缺的是</t>
        </is>
      </c>
      <c r="B92" s="3" t="inlineStr">
        <is>
          <t>去哪裡補</t>
        </is>
      </c>
      <c r="C92" s="3" t="inlineStr">
        <is>
          <t>要補成什麼樣子</t>
        </is>
      </c>
    </row>
    <row r="93" ht="44" customHeight="1" s="14">
      <c r="A93" s="4" t="inlineStr">
        <is>
          <t>某一題寫不出關鍵字</t>
        </is>
      </c>
      <c r="B93" s="4" t="inlineStr">
        <is>
          <t>回研究計畫本身</t>
        </is>
      </c>
      <c r="C93" s="4" t="inlineStr">
        <is>
          <t>那題就是你目前最大的風險。先想通，再寫關鍵字，不要硬背。</t>
        </is>
      </c>
    </row>
    <row r="94" ht="44" customHeight="1" s="14">
      <c r="A94" s="4" t="inlineStr">
        <is>
          <t>立場是誰都同意的宣言</t>
        </is>
      </c>
      <c r="B94" s="4" t="inlineStr">
        <is>
          <t>題庫與素材第三節第三段</t>
        </is>
      </c>
      <c r="C94" s="4" t="inlineStr">
        <is>
          <t>改成一個可以被反對的主張。寫不出來代表問題意識還是題材。</t>
        </is>
      </c>
    </row>
    <row r="95" ht="44" customHeight="1" s="14">
      <c r="A95" s="4" t="inlineStr">
        <is>
          <t>反方一出現就重複原本立場</t>
        </is>
      </c>
      <c r="B95" s="4" t="inlineStr">
        <is>
          <t>題庫與素材第四節</t>
        </is>
      </c>
      <c r="C95" s="4" t="inlineStr">
        <is>
          <t>先公平重述對方最強的論據，再說自己為什麼仍選這一邊。</t>
        </is>
      </c>
    </row>
    <row r="96" ht="44" customHeight="1" s="14">
      <c r="A96" s="4" t="inlineStr">
        <is>
          <t>被指出矛盾就硬拗或全部改</t>
        </is>
      </c>
      <c r="B96" s="4" t="inlineStr">
        <is>
          <t>題庫與素材第五節</t>
        </is>
      </c>
      <c r="C96" s="4" t="inlineStr">
        <is>
          <t>承認質疑有效 → 原本的理由 → 具體調整 → 怎麼驗證。分清技術細節與核心立場。</t>
        </is>
      </c>
    </row>
    <row r="97" ht="44" customHeight="1" s="14">
      <c r="A97" s="4" t="inlineStr">
        <is>
          <t>法條、案例、學者只知道名字</t>
        </is>
      </c>
      <c r="B97" s="4" t="inlineStr">
        <is>
          <t>題庫立場與理論第一、三題</t>
        </is>
      </c>
      <c r="C97" s="4" t="inlineStr">
        <is>
          <t>說得出它們在論證中到底做什麼，不是掛名字當裝飾。</t>
        </is>
      </c>
    </row>
    <row r="98" ht="44" customHeight="1" s="14">
      <c r="A98" s="4" t="inlineStr">
        <is>
          <t>資料拿不到答不出替代</t>
        </is>
      </c>
      <c r="B98" s="4" t="inlineStr">
        <is>
          <t>題庫方法與資料第四題</t>
        </is>
      </c>
      <c r="C98" s="4" t="inlineStr">
        <is>
          <t>替代方案與它的代價，兩件都要有。</t>
        </is>
      </c>
    </row>
    <row r="99" ht="44" customHeight="1" s="14">
      <c r="A99" s="4" t="inlineStr">
        <is>
          <t>方法的限制說不出</t>
        </is>
      </c>
      <c r="B99" s="4" t="inlineStr">
        <is>
          <t>題庫方法與資料第五題</t>
        </is>
      </c>
      <c r="C99" s="4" t="inlineStr">
        <is>
          <t>你的方法答不了什麼，主動講。</t>
        </is>
      </c>
    </row>
    <row r="100" ht="44" customHeight="1" s="14">
      <c r="A100" s="4" t="inlineStr">
        <is>
          <t>為什麼選本所答不好</t>
        </is>
      </c>
      <c r="B100" s="4" t="inlineStr">
        <is>
          <t>題庫動機與適配</t>
        </is>
      </c>
      <c r="C100" s="4" t="inlineStr">
        <is>
          <t>具體到課程、師資、資源，說得出想找哪位教授與理由。</t>
        </is>
      </c>
    </row>
    <row r="101" ht="42" customHeight="1" s="14">
      <c r="A101" s="11" t="inlineStr">
        <is>
          <t>要寫成完整答案的部分寫在你自己的筆記裡，這裡只負責告訴你缺什麼。</t>
        </is>
      </c>
    </row>
    <row r="102" ht="40" customHeight="1" s="14"/>
    <row r="103" ht="24" customHeight="1" s="14">
      <c r="A103" s="1" t="inlineStr">
        <is>
          <t>卡關時</t>
        </is>
      </c>
    </row>
    <row r="104" ht="26" customHeight="1" s="14">
      <c r="A104" s="3" t="inlineStr">
        <is>
          <t>狀況</t>
        </is>
      </c>
      <c r="B104" s="3" t="inlineStr">
        <is>
          <t>怎麼辦</t>
        </is>
      </c>
    </row>
    <row r="105" ht="97" customHeight="1" s="14">
      <c r="A105" s="4" t="inlineStr">
        <is>
          <t>教授說我的推論和前面說的有矛盾</t>
        </is>
      </c>
      <c r="B105" s="4" t="inlineStr">
        <is>
          <t>先判斷他指的是技術細節還是核心立場。技術細節就承認並提出調整；核心立場就說清楚你為什麼選這一邊、知道代價是什麼。硬凹和全面棄守都比答錯更糟。</t>
        </is>
      </c>
    </row>
    <row r="106" ht="97" customHeight="1" s="14">
      <c r="A106" s="4" t="inlineStr">
        <is>
          <t>被問到沒讀過的學者、法條或案例</t>
        </is>
      </c>
      <c r="B106" s="4" t="inlineStr">
        <is>
          <t>不要假裝讀過。說明目前掌握的範圍、你的初步判斷，以及你打算怎麼補。錯誤的引用會立刻被聽出來，還會讓委員懷疑你其他的引用。</t>
        </is>
      </c>
    </row>
    <row r="107" ht="97" customHeight="1" s="14">
      <c r="A107" s="4" t="inlineStr">
        <is>
          <t>教授問「如果我不收你，你會怎麼做」</t>
        </is>
      </c>
      <c r="B107" s="4" t="inlineStr">
        <is>
          <t>這是動機題，不是威脅。答案要和研究方向接得上：會怎麼繼續這個題目、還有哪些管道。答「那我就去考試」等於告訴他你沒想清楚為什麼走推甄。</t>
        </is>
      </c>
    </row>
    <row r="108" ht="97" customHeight="1" s="14">
      <c r="A108" s="4" t="inlineStr">
        <is>
          <t>立場寫出來像口號</t>
        </is>
      </c>
      <c r="B108" s="4" t="inlineStr">
        <is>
          <t>回一分鐘立場說明第三段。問自己：有沒有人會反對這句話？沒有的話它不是研究立場，是價值宣言。</t>
        </is>
      </c>
    </row>
    <row r="109" ht="97" customHeight="1" s="14">
      <c r="A109" s="4" t="inlineStr">
        <is>
          <t>兩次打出來的數字一樣</t>
        </is>
      </c>
      <c r="B109" s="4" t="inlineStr">
        <is>
          <t>檢查一下是不是這段時間都在讀計畫、沒有找人從反方追問。讀得再熟，沒被反駁過的立場還是空的。</t>
        </is>
      </c>
    </row>
    <row r="110" ht="32" customHeight="1" s="14">
      <c r="A110" s="11" t="inlineStr">
        <is>
          <t>口試的準備不是從口試前一週開始的。你在寫研究計畫時每一個選擇——為什麼是這個範圍、這個方法、這個立場——都要留下理由，那些理由就是口試的答案。</t>
        </is>
      </c>
    </row>
    <row r="111" ht="14" customHeight="1" s="14"/>
    <row r="112" ht="14" customHeight="1" s="14"/>
    <row r="113" ht="28" customHeight="1" s="14">
      <c r="A113" s="5" t="inlineStr">
        <is>
          <t># 搭配文章：法政研究所口試怎麼準備？答辯研究計畫的完整邏輯　https://tbd-edu.com/pages/resources/law-graduate-oral.html</t>
        </is>
      </c>
    </row>
    <row r="114" ht="28" customHeight="1" s="14">
      <c r="A114" s="5" t="inlineStr">
        <is>
          <t># TBD Studio ｜ https://tbd-edu.com/</t>
        </is>
      </c>
    </row>
  </sheetData>
  <mergeCells count="11">
    <mergeCell ref="A21:B21"/>
    <mergeCell ref="A41:C41"/>
    <mergeCell ref="A80:C80"/>
    <mergeCell ref="A110:C110"/>
    <mergeCell ref="A79:C79"/>
    <mergeCell ref="A11:B11"/>
    <mergeCell ref="A78:C78"/>
    <mergeCell ref="A101:C101"/>
    <mergeCell ref="A18:B18"/>
    <mergeCell ref="A50:C50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3"/>
  <sheetViews>
    <sheetView showGridLines="0" zoomScale="75" workbookViewId="0">
      <pane ySplit="2" topLeftCell="A51" activePane="bottomLeft" state="frozen"/>
      <selection pane="bottomLeft" activeCell="A70" sqref="A70"/>
    </sheetView>
  </sheetViews>
  <sheetFormatPr baseColWidth="10" defaultColWidth="9" defaultRowHeight="14"/>
  <cols>
    <col width="41.796875" customWidth="1" style="14" min="1" max="1"/>
    <col width="115.19921875" customWidth="1" style="14" min="2" max="2"/>
    <col width="51" customWidth="1" style="14" min="3" max="4"/>
    <col width="17.3984375" customWidth="1" style="14" min="5" max="5"/>
    <col width="12" customWidth="1" style="14" min="6" max="6"/>
  </cols>
  <sheetData>
    <row r="1" ht="30" customHeight="1" s="14">
      <c r="A1" s="2" t="inlineStr">
        <is>
          <t>法政｜口試自我檢核表：立場論證與反駁　v1</t>
        </is>
      </c>
    </row>
    <row r="2" ht="28" customHeight="1" s="14">
      <c r="A2" s="20" t="inlineStr">
        <is>
          <t>先寫答案要點，再練口說。每題兩個勾：寫出答案了、練過口說了。判準見「先讀這裡」分頁。淡黃色的儲存格是要你填或勾的，其餘是給你讀的。</t>
        </is>
      </c>
    </row>
    <row r="3" ht="40" customHeight="1" s="14"/>
    <row r="4" ht="24" customHeight="1" s="14">
      <c r="A4" s="1" t="inlineStr">
        <is>
          <t>一、四類追問題庫（19 題）</t>
        </is>
      </c>
    </row>
    <row r="5" ht="26" customHeight="1" s="14">
      <c r="A5" s="3" t="inlineStr">
        <is>
          <t>類別</t>
        </is>
      </c>
      <c r="B5" s="3" t="inlineStr">
        <is>
          <t>題目</t>
        </is>
      </c>
      <c r="C5" s="3" t="inlineStr">
        <is>
          <t>我的內容</t>
        </is>
      </c>
      <c r="D5" s="3" t="inlineStr">
        <is>
          <t>寫出答案</t>
        </is>
      </c>
      <c r="E5" s="3" t="inlineStr">
        <is>
          <t>練過口說</t>
        </is>
      </c>
    </row>
    <row r="6" ht="37" customHeight="1" s="14">
      <c r="A6" s="4" t="inlineStr">
        <is>
          <t>問題與範圍</t>
        </is>
      </c>
      <c r="B6" s="4" t="inlineStr">
        <is>
          <t>你的研究問題到底是什麼？用一句話說。</t>
        </is>
      </c>
      <c r="C6" s="6" t="n"/>
      <c r="D6" s="6" t="n"/>
      <c r="E6" s="6" t="n"/>
    </row>
    <row r="7" ht="37" customHeight="1" s="14">
      <c r="A7" s="4" t="inlineStr">
        <is>
          <t>問題與範圍</t>
        </is>
      </c>
      <c r="B7" s="4" t="inlineStr">
        <is>
          <t>這個題目為什麼值得研究？不做會少知道什麼？</t>
        </is>
      </c>
      <c r="C7" s="6" t="n"/>
      <c r="D7" s="6" t="n"/>
      <c r="E7" s="6" t="n"/>
    </row>
    <row r="8" ht="37" customHeight="1" s="14">
      <c r="A8" s="4" t="inlineStr">
        <is>
          <t>問題與範圍</t>
        </is>
      </c>
      <c r="B8" s="4" t="inlineStr">
        <is>
          <t>為什麼限定在這個時間、地域或法規範圍？</t>
        </is>
      </c>
      <c r="C8" s="6" t="n"/>
      <c r="D8" s="6" t="n"/>
      <c r="E8" s="6" t="n"/>
    </row>
    <row r="9" ht="37" customHeight="1" s="14">
      <c r="A9" s="4" t="inlineStr">
        <is>
          <t>問題與範圍</t>
        </is>
      </c>
      <c r="B9" s="4" t="inlineStr">
        <is>
          <t>這個題目兩年做得完嗎？</t>
        </is>
      </c>
      <c r="C9" s="6" t="n"/>
      <c r="D9" s="6" t="n"/>
      <c r="E9" s="6" t="n"/>
    </row>
    <row r="10" ht="37" customHeight="1" s="14">
      <c r="A10" s="4" t="inlineStr">
        <is>
          <t>問題與範圍</t>
        </is>
      </c>
      <c r="B10" s="4" t="inlineStr">
        <is>
          <t>前人是不是做過了？你的研究和他們差在哪裡？</t>
        </is>
      </c>
      <c r="C10" s="6" t="n"/>
      <c r="D10" s="6" t="n"/>
      <c r="E10" s="6" t="n"/>
    </row>
    <row r="11" ht="37" customHeight="1" s="14">
      <c r="A11" s="4" t="inlineStr">
        <is>
          <t>立場與理論</t>
        </is>
      </c>
      <c r="B11" s="4" t="inlineStr">
        <is>
          <t>你採取這個立場或分析架構的理論依據是什麼？</t>
        </is>
      </c>
      <c r="C11" s="6" t="n"/>
      <c r="D11" s="6" t="n"/>
      <c r="E11" s="6" t="n"/>
    </row>
    <row r="12" ht="37" customHeight="1" s="14">
      <c r="A12" s="4" t="inlineStr">
        <is>
          <t>立場與理論</t>
        </is>
      </c>
      <c r="B12" s="4" t="inlineStr">
        <is>
          <t>如果從相反的理論取徑來看，你的結論還成立嗎？</t>
        </is>
      </c>
      <c r="C12" s="6" t="n"/>
      <c r="D12" s="6" t="n"/>
      <c r="E12" s="6" t="n"/>
    </row>
    <row r="13" ht="37" customHeight="1" s="14">
      <c r="A13" s="4" t="inlineStr">
        <is>
          <t>立場與理論</t>
        </is>
      </c>
      <c r="B13" s="4" t="inlineStr">
        <is>
          <t>你引用的學者或理論本身有哪些爭議？</t>
        </is>
      </c>
      <c r="C13" s="6" t="n"/>
      <c r="D13" s="6" t="n"/>
      <c r="E13" s="6" t="n"/>
    </row>
    <row r="14" ht="37" customHeight="1" s="14">
      <c r="A14" s="4" t="inlineStr">
        <is>
          <t>立場與理論</t>
        </is>
      </c>
      <c r="B14" s="4" t="inlineStr">
        <is>
          <t>你的立場會導致什麼實務或政策後果？你能接受嗎？</t>
        </is>
      </c>
      <c r="C14" s="6" t="n"/>
      <c r="D14" s="6" t="n"/>
      <c r="E14" s="6" t="n"/>
    </row>
    <row r="15" ht="37" customHeight="1" s="14">
      <c r="A15" s="4" t="inlineStr">
        <is>
          <t>立場與理論</t>
        </is>
      </c>
      <c r="B15" s="4" t="inlineStr">
        <is>
          <t>這裡的推論和你前面說的是不是有矛盾？</t>
        </is>
      </c>
      <c r="C15" s="6" t="n"/>
      <c r="D15" s="6" t="n"/>
      <c r="E15" s="6" t="n"/>
    </row>
    <row r="16" ht="37" customHeight="1" s="14">
      <c r="A16" s="4" t="inlineStr">
        <is>
          <t>方法與資料</t>
        </is>
      </c>
      <c r="B16" s="4" t="inlineStr">
        <is>
          <t>為什麼選這個方法？換一種方法行不行？</t>
        </is>
      </c>
      <c r="C16" s="6" t="n"/>
      <c r="D16" s="6" t="n"/>
      <c r="E16" s="6" t="n"/>
    </row>
    <row r="17" ht="37" customHeight="1" s="14">
      <c r="A17" s="4" t="inlineStr">
        <is>
          <t>方法與資料</t>
        </is>
      </c>
      <c r="B17" s="4" t="inlineStr">
        <is>
          <t>這個方法怎麼真正回答你的研究問題？</t>
        </is>
      </c>
      <c r="C17" s="6" t="n"/>
      <c r="D17" s="6" t="n"/>
      <c r="E17" s="6" t="n"/>
    </row>
    <row r="18" ht="37" customHeight="1" s="14">
      <c r="A18" s="4" t="inlineStr">
        <is>
          <t>方法與資料</t>
        </is>
      </c>
      <c r="B18" s="4" t="inlineStr">
        <is>
          <t>判決、個案、受訪者或其他資料怎麼挑？有沒有選擇偏誤？</t>
        </is>
      </c>
      <c r="C18" s="6" t="n"/>
      <c r="D18" s="6" t="n"/>
      <c r="E18" s="6" t="n"/>
    </row>
    <row r="19" ht="37" customHeight="1" s="14">
      <c r="A19" s="4" t="inlineStr">
        <is>
          <t>方法與資料</t>
        </is>
      </c>
      <c r="B19" s="4" t="inlineStr">
        <is>
          <t>資料拿得到嗎？拿不到時的替代方案是什麼？</t>
        </is>
      </c>
      <c r="C19" s="6" t="n"/>
      <c r="D19" s="6" t="n"/>
      <c r="E19" s="6" t="n"/>
    </row>
    <row r="20" ht="37" customHeight="1" s="14">
      <c r="A20" s="4" t="inlineStr">
        <is>
          <t>方法與資料</t>
        </is>
      </c>
      <c r="B20" s="4" t="inlineStr">
        <is>
          <t>這個方法最大的限制是什麼？</t>
        </is>
      </c>
      <c r="C20" s="6" t="n"/>
      <c r="D20" s="6" t="n"/>
      <c r="E20" s="6" t="n"/>
    </row>
    <row r="21" ht="37" customHeight="1" s="14">
      <c r="A21" s="4" t="inlineStr">
        <is>
          <t>動機與適配</t>
        </is>
      </c>
      <c r="B21" s="4" t="inlineStr">
        <is>
          <t>為什麼是你來做這個題目？</t>
        </is>
      </c>
      <c r="C21" s="6" t="n"/>
      <c r="D21" s="6" t="n"/>
      <c r="E21" s="6" t="n"/>
    </row>
    <row r="22" ht="37" customHeight="1" s="14">
      <c r="A22" s="4" t="inlineStr">
        <is>
          <t>動機與適配</t>
        </is>
      </c>
      <c r="B22" s="4" t="inlineStr">
        <is>
          <t>為什麼選我們所／這位老師？</t>
        </is>
      </c>
      <c r="C22" s="6" t="n"/>
      <c r="D22" s="6" t="n"/>
      <c r="E22" s="6" t="n"/>
    </row>
    <row r="23" ht="37" customHeight="1" s="14">
      <c r="A23" s="4" t="inlineStr">
        <is>
          <t>動機與適配</t>
        </is>
      </c>
      <c r="B23" s="4" t="inlineStr">
        <is>
          <t>你的研究方向和本所課程、師資或資源怎麼連起來？</t>
        </is>
      </c>
      <c r="C23" s="6" t="n"/>
      <c r="D23" s="6" t="n"/>
      <c r="E23" s="6" t="n"/>
    </row>
    <row r="24" ht="37" customHeight="1" s="14">
      <c r="A24" s="4" t="inlineStr">
        <is>
          <t>動機與適配</t>
        </is>
      </c>
      <c r="B24" s="4" t="inlineStr">
        <is>
          <t>畢業後想做什麼？這個研究方向怎麼接到下一步？</t>
        </is>
      </c>
      <c r="C24" s="6" t="n"/>
      <c r="D24" s="6" t="n"/>
      <c r="E24" s="6" t="n"/>
    </row>
    <row r="25" ht="42" customHeight="1" s="14">
      <c r="A25" s="11" t="inlineStr">
        <is>
          <t>每一題先寫關鍵字，不要寫逐字稿——逐字稿會讓你在被打斷時卡住。再對著人練口說。</t>
        </is>
      </c>
    </row>
    <row r="26" ht="40" customHeight="1" s="14"/>
    <row r="27" ht="24" customHeight="1" s="14">
      <c r="A27" s="1" t="inlineStr">
        <is>
          <t>二、六步答題框架</t>
        </is>
      </c>
    </row>
    <row r="28" ht="26" customHeight="1" s="14">
      <c r="A28" s="3" t="inlineStr">
        <is>
          <t>步驟</t>
        </is>
      </c>
      <c r="B28" s="3" t="inlineStr">
        <is>
          <t>作用</t>
        </is>
      </c>
      <c r="C28" s="3" t="inlineStr">
        <is>
          <t>練習備註</t>
        </is>
      </c>
    </row>
    <row r="29" ht="44" customHeight="1" s="14">
      <c r="A29" s="4" t="inlineStr">
        <is>
          <t>1 確認問題</t>
        </is>
      </c>
      <c r="B29" s="4" t="inlineStr">
        <is>
          <t>確認委員從哪個角度質疑，避免答非所問，也替自己爭取思考時間</t>
        </is>
      </c>
      <c r="C29" s="6" t="n"/>
    </row>
    <row r="30" ht="44" customHeight="1" s="14">
      <c r="A30" s="4" t="inlineStr">
        <is>
          <t>2 表明核心立場</t>
        </is>
      </c>
      <c r="B30" s="4" t="inlineStr">
        <is>
          <t>先說清楚自己的判斷，不迴避、不模糊</t>
        </is>
      </c>
      <c r="C30" s="6" t="n"/>
    </row>
    <row r="31" ht="44" customHeight="1" s="14">
      <c r="A31" s="4" t="inlineStr">
        <is>
          <t>3 提供理論或資料依據</t>
        </is>
      </c>
      <c r="B31" s="4" t="inlineStr">
        <is>
          <t>用法理、理論、案例、資料或文獻支撐為什麼這樣判斷</t>
        </is>
      </c>
      <c r="C31" s="6" t="n"/>
    </row>
    <row r="32" ht="44" customHeight="1" s="14">
      <c r="A32" s="4" t="inlineStr">
        <is>
          <t>4 說明限制</t>
        </is>
      </c>
      <c r="B32" s="4" t="inlineStr">
        <is>
          <t>主動承認目前論證、方法或資料不能處理的範圍</t>
        </is>
      </c>
      <c r="C32" s="6" t="n"/>
    </row>
    <row r="33" ht="44" customHeight="1" s="14">
      <c r="A33" s="4" t="inlineStr">
        <is>
          <t>5 回應反例</t>
        </is>
      </c>
      <c r="B33" s="4" t="inlineStr">
        <is>
          <t>正面處理委員提出的反方、例外或矛盾，不繞開問題</t>
        </is>
      </c>
      <c r="C33" s="6" t="n"/>
    </row>
    <row r="34" ht="44" customHeight="1" s="14">
      <c r="A34" s="4" t="inlineStr">
        <is>
          <t>6 提出修正範圍</t>
        </is>
      </c>
      <c r="B34" s="4" t="inlineStr">
        <is>
          <t>說清楚哪些部分可以調整，哪些是核心主張仍然保留</t>
        </is>
      </c>
      <c r="C34" s="6" t="n"/>
    </row>
    <row r="35" ht="42" customHeight="1" s="14">
      <c r="A35" s="11" t="inlineStr">
        <is>
          <t>這是被質疑時的回答順序。練到被打斷或追問時仍能照這個順序走。</t>
        </is>
      </c>
    </row>
    <row r="36" ht="40" customHeight="1" s="14"/>
    <row r="37" ht="24" customHeight="1" s="14">
      <c r="A37" s="1" t="inlineStr">
        <is>
          <t>三、一分鐘立場說明（五段）</t>
        </is>
      </c>
    </row>
    <row r="38" ht="26" customHeight="1" s="14">
      <c r="A38" s="3" t="inlineStr">
        <is>
          <t>段落</t>
        </is>
      </c>
      <c r="B38" s="3" t="inlineStr">
        <is>
          <t>要講什麼</t>
        </is>
      </c>
      <c r="C38" s="3" t="inlineStr">
        <is>
          <t>我的內容</t>
        </is>
      </c>
      <c r="D38" s="3" t="inlineStr">
        <is>
          <t>秒數</t>
        </is>
      </c>
    </row>
    <row r="39" ht="51" customHeight="1" s="14">
      <c r="A39" s="4" t="inlineStr">
        <is>
          <t>我要處理的爭議</t>
        </is>
      </c>
      <c r="B39" s="4" t="inlineStr">
        <is>
          <t>一句話，具體到不能再具體</t>
        </is>
      </c>
      <c r="C39" s="6" t="n"/>
      <c r="D39" s="4" t="inlineStr">
        <is>
          <t>0 到 15</t>
        </is>
      </c>
    </row>
    <row r="40" ht="51" customHeight="1" s="14">
      <c r="A40" s="4" t="inlineStr">
        <is>
          <t>我的核心研究問題</t>
        </is>
      </c>
      <c r="B40" s="4" t="inlineStr">
        <is>
          <t>一個問句</t>
        </is>
      </c>
      <c r="C40" s="6" t="n"/>
      <c r="D40" s="4" t="inlineStr">
        <is>
          <t>15 到 30</t>
        </is>
      </c>
    </row>
    <row r="41" ht="51" customHeight="1" s="14">
      <c r="A41" s="4" t="inlineStr">
        <is>
          <t>我採取的立場或分析架構</t>
        </is>
      </c>
      <c r="B41" s="4" t="inlineStr">
        <is>
          <t>明確表態，而且是一個可以被反對的主張</t>
        </is>
      </c>
      <c r="C41" s="6" t="n"/>
      <c r="D41" s="4" t="inlineStr">
        <is>
          <t>30 到 50</t>
        </is>
      </c>
    </row>
    <row r="42" ht="51" customHeight="1" s="14">
      <c r="A42" s="4" t="inlineStr">
        <is>
          <t>我用什麼方法回答</t>
        </is>
      </c>
      <c r="B42" s="4" t="inlineStr">
        <is>
          <t>一句話說完</t>
        </is>
      </c>
      <c r="C42" s="6" t="n"/>
      <c r="D42" s="4" t="inlineStr">
        <is>
          <t>50 到 65</t>
        </is>
      </c>
    </row>
    <row r="43" ht="51" customHeight="1" s="14">
      <c r="A43" s="4" t="inlineStr">
        <is>
          <t>為什麼是我</t>
        </is>
      </c>
      <c r="B43" s="4" t="inlineStr">
        <is>
          <t>連到修課、專題或實務經歷</t>
        </is>
      </c>
      <c r="C43" s="6" t="n"/>
      <c r="D43" s="4" t="inlineStr">
        <is>
          <t>65 到 90</t>
        </is>
      </c>
    </row>
    <row r="44" ht="42" customHeight="1" s="14">
      <c r="A44" s="11" t="inlineStr">
        <is>
          <t>寫下來、念出來、計時。全部念完在 60-90 秒之內，被打斷之後接得回來。</t>
        </is>
      </c>
    </row>
    <row r="45" ht="40" customHeight="1" s="14"/>
    <row r="46" ht="24" customHeight="1" s="14">
      <c r="A46" s="1" t="inlineStr">
        <is>
          <t>四、最強反方觀點（至少兩種）</t>
        </is>
      </c>
    </row>
    <row r="47" ht="26" customHeight="1" s="14">
      <c r="A47" s="3" t="inlineStr">
        <is>
          <t>編號</t>
        </is>
      </c>
      <c r="B47" s="3" t="inlineStr">
        <is>
          <t>對立觀點是什麼</t>
        </is>
      </c>
      <c r="C47" s="3" t="inlineStr">
        <is>
          <t>對方最強的論據</t>
        </is>
      </c>
      <c r="D47" s="3" t="inlineStr">
        <is>
          <t>我為什麼仍然選這一邊</t>
        </is>
      </c>
    </row>
    <row r="48" ht="32" customHeight="1" s="14">
      <c r="A48" s="4" t="inlineStr">
        <is>
          <t>1</t>
        </is>
      </c>
      <c r="B48" s="6" t="n"/>
      <c r="C48" s="6" t="n"/>
      <c r="D48" s="6" t="n"/>
    </row>
    <row r="49" ht="32" customHeight="1" s="14">
      <c r="A49" s="4" t="inlineStr">
        <is>
          <t>2</t>
        </is>
      </c>
      <c r="B49" s="6" t="n"/>
      <c r="C49" s="6" t="n"/>
      <c r="D49" s="6" t="n"/>
    </row>
    <row r="50" ht="42" customHeight="1" s="14">
      <c r="A50" s="11" t="inlineStr">
        <is>
          <t>不要只準備容易回應的版本。能公平說出對方最強論據，再說明為什麼仍選這一邊，才算真的理解自己的立場。</t>
        </is>
      </c>
    </row>
    <row r="51" ht="40" customHeight="1" s="14"/>
    <row r="52" ht="24" customHeight="1" s="14">
      <c r="A52" s="1" t="inlineStr">
        <is>
          <t>五、被指出矛盾時的句型</t>
        </is>
      </c>
    </row>
    <row r="53" ht="48" customHeight="1" s="14">
      <c r="A53" s="18" t="inlineStr">
        <is>
          <t>「這個質疑確實指出目前計畫的一個限制。原先我的立場是基於＿＿，但若納入老師提到的情況，我會將研究範圍重新界定為＿＿，並補充＿＿方法或文獻來檢驗。」</t>
        </is>
      </c>
    </row>
    <row r="54" ht="26" customHeight="1" s="14">
      <c r="A54" s="3" t="inlineStr">
        <is>
          <t>我預期被指出的矛盾或漏洞</t>
        </is>
      </c>
      <c r="B54" s="3" t="inlineStr">
        <is>
          <t>可以修正的部分（範圍、方法、資料）</t>
        </is>
      </c>
      <c r="C54" s="3" t="inlineStr">
        <is>
          <t>核心立場為什麼不動、代價是什麼</t>
        </is>
      </c>
    </row>
    <row r="55" ht="32" customHeight="1" s="14">
      <c r="A55" s="6" t="n"/>
      <c r="B55" s="6" t="n"/>
      <c r="C55" s="6" t="n"/>
    </row>
    <row r="56" ht="32" customHeight="1" s="14">
      <c r="A56" s="6" t="n"/>
      <c r="B56" s="6" t="n"/>
      <c r="C56" s="6" t="n"/>
    </row>
    <row r="57" ht="32" customHeight="1" s="14">
      <c r="A57" s="6" t="n"/>
      <c r="B57" s="6" t="n"/>
      <c r="C57" s="6" t="n"/>
    </row>
    <row r="58" ht="42" customHeight="1" s="14">
      <c r="A58" s="11" t="inlineStr">
        <is>
          <t>承認質疑有效 → 說明原本的理由 → 提出具體調整 → 說明怎麼驗證。既沒有全面棄守，也沒有硬撐。</t>
        </is>
      </c>
    </row>
    <row r="59" ht="40" customHeight="1" s="14"/>
    <row r="60" ht="42" customHeight="1" s="14">
      <c r="A60" s="11" t="inlineStr">
        <is>
          <t>填完切到「檢核表」分頁。</t>
        </is>
      </c>
    </row>
    <row r="61" ht="14" customHeight="1" s="14"/>
    <row r="62" ht="28" customHeight="1" s="14">
      <c r="A62" s="5" t="inlineStr">
        <is>
          <t># 搭配文章：法政研究所口試怎麼準備？答辯研究計畫的完整邏輯　https://tbd-edu.com/pages/resources/law-graduate-oral.html</t>
        </is>
      </c>
    </row>
    <row r="63" ht="28" customHeight="1" s="14">
      <c r="A63" s="5" t="inlineStr">
        <is>
          <t># TBD Studio ｜ https://tbd-edu.com/</t>
        </is>
      </c>
    </row>
  </sheetData>
  <mergeCells count="8">
    <mergeCell ref="A53:E53"/>
    <mergeCell ref="A50:E50"/>
    <mergeCell ref="A35:E35"/>
    <mergeCell ref="A2:E2"/>
    <mergeCell ref="A25:E25"/>
    <mergeCell ref="A60:E60"/>
    <mergeCell ref="A44:E44"/>
    <mergeCell ref="A58:E58"/>
  </mergeCells>
  <dataValidations count="1">
    <dataValidation sqref="D6:E24" showDropDown="0" showInputMessage="0" showErrorMessage="0" allowBlank="0" type="list">
      <formula1>"✓"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5"/>
  <sheetViews>
    <sheetView showGridLines="0" zoomScale="75" workbookViewId="0">
      <pane ySplit="2" topLeftCell="A38" activePane="bottomLeft" state="frozen"/>
      <selection pane="bottomLeft" activeCell="A56" sqref="A56"/>
    </sheetView>
  </sheetViews>
  <sheetFormatPr baseColWidth="10" defaultColWidth="9" defaultRowHeight="14"/>
  <cols>
    <col width="111.59765625" customWidth="1" style="14" min="1" max="1"/>
    <col width="17.3984375" customWidth="1" style="14" min="2" max="2"/>
    <col width="86.59765625" customWidth="1" style="14" min="3" max="3"/>
    <col width="78.796875" customWidth="1" style="14" min="4" max="4"/>
    <col width="12" customWidth="1" style="14" min="5" max="6"/>
  </cols>
  <sheetData>
    <row r="1" ht="30" customHeight="1" s="14">
      <c r="A1" s="2" t="inlineStr">
        <is>
          <t>法政｜口試自我檢核表：立場論證與反駁　v1</t>
        </is>
      </c>
    </row>
    <row r="2" ht="28" customHeight="1" s="14">
      <c r="A2" s="20" t="inlineStr">
        <is>
          <t>5 區共 29 項。當場講得出來才打 ✓，「應該會吧」留白。判準見「先讀這裡」分頁。淡黃色的儲存格是要你填或勾的，其餘是給你讀的。</t>
        </is>
      </c>
    </row>
    <row r="3" ht="40" customHeight="1" s="14"/>
    <row r="4" ht="24" customHeight="1" s="14">
      <c r="A4" s="1" t="inlineStr">
        <is>
          <t>第 1 區　開場：一分鐘立場說明（4 項）</t>
        </is>
      </c>
    </row>
    <row r="5" ht="26" customHeight="1" s="14">
      <c r="A5" s="3" t="inlineStr">
        <is>
          <t>檢核項目</t>
        </is>
      </c>
      <c r="B5" s="3" t="inlineStr">
        <is>
          <t>確認</t>
        </is>
      </c>
      <c r="C5" s="3" t="inlineStr">
        <is>
          <t>沒打勾的話，下一步</t>
        </is>
      </c>
    </row>
    <row r="6" ht="43" customHeight="1" s="14">
      <c r="A6" s="4" t="inlineStr">
        <is>
          <t>我能在 60-90 秒內說清楚爭議、研究問題、立場／分析架構與方法</t>
        </is>
      </c>
      <c r="B6" s="6" t="n"/>
      <c r="C6" s="4" t="inlineStr">
        <is>
          <t>回題庫與素材第三節，計時。</t>
        </is>
      </c>
    </row>
    <row r="7" ht="43" customHeight="1" s="14">
      <c r="A7" s="4" t="inlineStr">
        <is>
          <t>我的核心立場是可以被反對的主張，而不是誰都同意的價值宣言</t>
        </is>
      </c>
      <c r="B7" s="6" t="n"/>
      <c r="C7" s="4" t="inlineStr">
        <is>
          <t>回題庫與素材第三節第三段。問自己：有沒有人會反對這句話？</t>
        </is>
      </c>
    </row>
    <row r="8" ht="43" customHeight="1" s="14">
      <c r="A8" s="4" t="inlineStr">
        <is>
          <t>我能說清楚「為什麼是我」並連回修課、專題或實務經歷</t>
        </is>
      </c>
      <c r="B8" s="6" t="n"/>
      <c r="C8" s="4" t="inlineStr">
        <is>
          <t>回題庫與素材第三節第五段。</t>
        </is>
      </c>
    </row>
    <row r="9" ht="43" customHeight="1" s="14">
      <c r="A9" s="4" t="inlineStr">
        <is>
          <t>被打斷後，我仍能接回研究問題與核心立場</t>
        </is>
      </c>
      <c r="B9" s="6" t="n"/>
      <c r="C9" s="4" t="inlineStr">
        <is>
          <t>找人打斷你，練到接得回來。</t>
        </is>
      </c>
    </row>
    <row r="10" ht="42" customHeight="1" s="14">
      <c r="A10" s="11" t="inlineStr">
        <is>
          <t>立場要能被反對。誰都同意的價值宣言，委員沒有東西可以追問。</t>
        </is>
      </c>
    </row>
    <row r="11" ht="40" customHeight="1" s="14"/>
    <row r="12" ht="24" customHeight="1" s="14">
      <c r="A12" s="1" t="inlineStr">
        <is>
          <t>第 2 區　最強反方與推論一致性（5 項）</t>
        </is>
      </c>
    </row>
    <row r="13" ht="26" customHeight="1" s="14">
      <c r="A13" s="3" t="inlineStr">
        <is>
          <t>檢核項目</t>
        </is>
      </c>
      <c r="B13" s="3" t="inlineStr">
        <is>
          <t>確認</t>
        </is>
      </c>
      <c r="C13" s="3" t="inlineStr">
        <is>
          <t>沒打勾的話，下一步</t>
        </is>
      </c>
    </row>
    <row r="14" ht="41" customHeight="1" s="14">
      <c r="A14" s="4" t="inlineStr">
        <is>
          <t>我已準備至少兩種對立觀點，且知道對方最強的論據是什麼</t>
        </is>
      </c>
      <c r="B14" s="6" t="n"/>
      <c r="C14" s="4" t="inlineStr">
        <is>
          <t>回題庫與素材第四節。</t>
        </is>
      </c>
    </row>
    <row r="15" ht="41" customHeight="1" s="14">
      <c r="A15" s="4" t="inlineStr">
        <is>
          <t>我能先公平重述反方觀點，再回應它，而不是把對方簡化成容易攻擊的版本</t>
        </is>
      </c>
      <c r="B15" s="6" t="n"/>
      <c r="C15" s="4" t="inlineStr">
        <is>
          <t>回題庫與素材第四節第三欄。</t>
        </is>
      </c>
    </row>
    <row r="16" ht="41" customHeight="1" s="14">
      <c r="A16" s="4" t="inlineStr">
        <is>
          <t>我知道哪些反例會真正動搖我的結論，哪些只會要求我縮小適用範圍</t>
        </is>
      </c>
      <c r="B16" s="6" t="n"/>
      <c r="C16" s="4" t="inlineStr">
        <is>
          <t>回題庫與素材第五節，分清技術細節與核心立場。</t>
        </is>
      </c>
    </row>
    <row r="17" ht="41" customHeight="1" s="14">
      <c r="A17" s="4" t="inlineStr">
        <is>
          <t>我能說清楚哪些部分可以修正，哪些是核心論證仍然保留</t>
        </is>
      </c>
      <c r="B17" s="6" t="n"/>
      <c r="C17" s="4" t="inlineStr">
        <is>
          <t>回題庫與素材第五節第二、三欄。</t>
        </is>
      </c>
    </row>
    <row r="18" ht="41" customHeight="1" s="14">
      <c r="A18" s="4" t="inlineStr">
        <is>
          <t>我已檢查研究問題、理論、方法與結論之間沒有明顯推論矛盾</t>
        </is>
      </c>
      <c r="B18" s="6" t="n"/>
      <c r="C18" s="4" t="inlineStr">
        <is>
          <t>四段並排讀一次，前面說的和後面說的要對得上。</t>
        </is>
      </c>
    </row>
    <row r="19" ht="42" customHeight="1" s="14">
      <c r="A19" s="11" t="inlineStr">
        <is>
          <t>先處理最強反方。不要只準備容易回應的版本。</t>
        </is>
      </c>
    </row>
    <row r="20" ht="40" customHeight="1" s="14"/>
    <row r="21" ht="24" customHeight="1" s="14">
      <c r="A21" s="1" t="inlineStr">
        <is>
          <t>第 3 區　被質疑或問到不會回答時（5 項）</t>
        </is>
      </c>
    </row>
    <row r="22" ht="26" customHeight="1" s="14">
      <c r="A22" s="3" t="inlineStr">
        <is>
          <t>檢核項目</t>
        </is>
      </c>
      <c r="B22" s="3" t="inlineStr">
        <is>
          <t>確認</t>
        </is>
      </c>
      <c r="C22" s="3" t="inlineStr">
        <is>
          <t>沒打勾的話，下一步</t>
        </is>
      </c>
    </row>
    <row r="23" ht="47" customHeight="1" s="14">
      <c r="A23" s="4" t="inlineStr">
        <is>
          <t>立場被提出反方時，我能先確認爭點，再說明依據與可修正範圍</t>
        </is>
      </c>
      <c r="B23" s="6" t="n"/>
      <c r="C23" s="4" t="inlineStr">
        <is>
          <t>回六步框架第一、三、六步。</t>
        </is>
      </c>
    </row>
    <row r="24" ht="47" customHeight="1" s="14">
      <c r="A24" s="4" t="inlineStr">
        <is>
          <t>推論被指出矛盾時，我能承認不一致並重新界定適用範圍，而不是硬拗</t>
        </is>
      </c>
      <c r="B24" s="6" t="n"/>
      <c r="C24" s="4" t="inlineStr">
        <is>
          <t>回題庫與素材第五節句型。</t>
        </is>
      </c>
    </row>
    <row r="25" ht="47" customHeight="1" s="14">
      <c r="A25" s="4" t="inlineStr">
        <is>
          <t>資料取得或方法被質疑時，我能提出具體替代方案與代價</t>
        </is>
      </c>
      <c r="B25" s="6" t="n"/>
      <c r="C25" s="4" t="inlineStr">
        <is>
          <t>回題庫方法與資料第四、五題。</t>
        </is>
      </c>
    </row>
    <row r="26" ht="47" customHeight="1" s="14">
      <c r="A26" s="4" t="inlineStr">
        <is>
          <t>被問到不熟悉的法規、案例、理論或資料時，我能誠實說明目前掌握到哪裡，並提出查證方式</t>
        </is>
      </c>
      <c r="B26" s="6" t="n"/>
      <c r="C26" s="4" t="inlineStr">
        <is>
          <t>不要假裝讀過。錯誤引用會被立刻聽出來。</t>
        </is>
      </c>
    </row>
    <row r="27" ht="47" customHeight="1" s="14">
      <c r="A27" s="4" t="inlineStr">
        <is>
          <t>我不會用價值宣稱、情緒化表態或「我就是這樣認為」取代理由與證據</t>
        </is>
      </c>
      <c r="B27" s="6" t="n"/>
      <c r="C27" s="4" t="inlineStr">
        <is>
          <t>法政研究處理價值問題，但處理的方式是論證，不是表態。</t>
        </is>
      </c>
    </row>
    <row r="28" ht="42" customHeight="1" s="14">
      <c r="A28" s="11" t="inlineStr">
        <is>
          <t>修正不等於棄守。被指出漏洞時，先判斷要修的是範圍、方法還是核心主張。</t>
        </is>
      </c>
    </row>
    <row r="29" ht="40" customHeight="1" s="14"/>
    <row r="30" ht="24" customHeight="1" s="14">
      <c r="A30" s="1" t="inlineStr">
        <is>
          <t>第 4 區　上場前檢核（8 項　沒滿就還不能上場）</t>
        </is>
      </c>
    </row>
    <row r="31" ht="26" customHeight="1" s="14">
      <c r="A31" s="3" t="inlineStr">
        <is>
          <t>檢核項目</t>
        </is>
      </c>
      <c r="B31" s="3" t="inlineStr">
        <is>
          <t>確認</t>
        </is>
      </c>
      <c r="C31" s="3" t="inlineStr">
        <is>
          <t>沒打勾的話，下一步</t>
        </is>
      </c>
    </row>
    <row r="32" ht="37" customHeight="1" s="14">
      <c r="A32" s="4" t="inlineStr">
        <is>
          <t>一分鐘研究立場版本已練到不用逐字稿</t>
        </is>
      </c>
      <c r="B32" s="6" t="n"/>
      <c r="C32" s="4" t="inlineStr">
        <is>
          <t>回題庫與素材第三節。</t>
        </is>
      </c>
    </row>
    <row r="33" ht="37" customHeight="1" s="14">
      <c r="A33" s="4" t="inlineStr">
        <is>
          <t>四類追問都至少被別人連續追問過一輪</t>
        </is>
      </c>
      <c r="B33" s="6" t="n"/>
      <c r="C33" s="4" t="inlineStr">
        <is>
          <t>學長姐、同學或顧問都可以。要用質疑的語氣。</t>
        </is>
      </c>
    </row>
    <row r="34" ht="37" customHeight="1" s="14">
      <c r="A34" s="4" t="inlineStr">
        <is>
          <t>至少兩種反方立場與其最強論據都準備完成</t>
        </is>
      </c>
      <c r="B34" s="6" t="n"/>
      <c r="C34" s="4" t="inlineStr">
        <is>
          <t>回題庫與素材第四節。</t>
        </is>
      </c>
    </row>
    <row r="35" ht="37" customHeight="1" s="14">
      <c r="A35" s="4" t="inlineStr">
        <is>
          <t>研究方法最大的限制與補足方案都答得出來</t>
        </is>
      </c>
      <c r="B35" s="6" t="n"/>
      <c r="C35" s="4" t="inlineStr">
        <is>
          <t>回題庫方法與資料第五題。</t>
        </is>
      </c>
    </row>
    <row r="36" ht="37" customHeight="1" s="14">
      <c r="A36" s="4" t="inlineStr">
        <is>
          <t>計畫書裡引用的重要法條、案例、理論與資料，我都能說明來源與用途</t>
        </is>
      </c>
      <c r="B36" s="6" t="n"/>
      <c r="C36" s="4" t="inlineStr">
        <is>
          <t>計畫書與備審裡沒有任何一句是你答不出出處或細節的。</t>
        </is>
      </c>
    </row>
    <row r="37" ht="37" customHeight="1" s="14">
      <c r="A37" s="4" t="inlineStr">
        <is>
          <t>我查過可能的口試委員與研究方向，能預判幾種提問角度</t>
        </is>
      </c>
      <c r="B37" s="6" t="n"/>
      <c r="C37" s="4" t="inlineStr">
        <is>
          <t>不只指導教授。</t>
        </is>
      </c>
    </row>
    <row r="38" ht="37" customHeight="1" s="14">
      <c r="A38" s="4" t="inlineStr">
        <is>
          <t>我練習過被打斷、被反駁與被質疑語氣追問時的反應</t>
        </is>
      </c>
      <c r="B38" s="6" t="n"/>
      <c r="C38" s="4" t="inlineStr">
        <is>
          <t>不只是順順地講一遍。</t>
        </is>
      </c>
    </row>
    <row r="39" ht="37" customHeight="1" s="14">
      <c r="A39" s="4" t="inlineStr">
        <is>
          <t>服裝、時間、地點、線上設備與備援方案都已確認</t>
        </is>
      </c>
      <c r="B39" s="6" t="n"/>
      <c r="C39" s="4" t="inlineStr">
        <is>
          <t>線上口試先測過鏡頭與麥克風。</t>
        </is>
      </c>
    </row>
    <row r="40" ht="42" customHeight="1" s="14">
      <c r="A40" s="11" t="inlineStr">
        <is>
          <t>這八項是最後那道閘門。它們不是新工作，是把前面的準備再問一次。</t>
        </is>
      </c>
    </row>
    <row r="41" ht="40" customHeight="1" s="14"/>
    <row r="42" ht="24" customHeight="1" s="14">
      <c r="A42" s="1" t="inlineStr">
        <is>
          <t>第 5 區　常見失分點（7 項　✓ 代表我不會這樣答）</t>
        </is>
      </c>
    </row>
    <row r="43" ht="26" customHeight="1" s="14">
      <c r="A43" s="3" t="inlineStr">
        <is>
          <t>檢核項目</t>
        </is>
      </c>
      <c r="B43" s="3" t="inlineStr">
        <is>
          <t>確認</t>
        </is>
      </c>
      <c r="C43" s="3" t="inlineStr">
        <is>
          <t>沒打勾的話，下一步</t>
        </is>
      </c>
    </row>
    <row r="44" ht="37" customHeight="1" s="14">
      <c r="A44" s="4" t="inlineStr">
        <is>
          <t>把口試當辯論賽，只想證明委員錯、自己對</t>
        </is>
      </c>
      <c r="B44" s="6" t="n"/>
      <c r="C44" s="4" t="inlineStr">
        <is>
          <t>這裡不是模擬法庭，教授不是對造。回六步框架第四步。</t>
        </is>
      </c>
    </row>
    <row r="45" ht="37" customHeight="1" s="14">
      <c r="A45" s="4" t="inlineStr">
        <is>
          <t>委員一質疑就全面棄守，直接說整個計畫都會改</t>
        </is>
      </c>
      <c r="B45" s="6" t="n"/>
      <c r="C45" s="4" t="inlineStr">
        <is>
          <t>回題庫與素材第五節，分清技術細節與核心立場。</t>
        </is>
      </c>
    </row>
    <row r="46" ht="37" customHeight="1" s="14">
      <c r="A46" s="4" t="inlineStr">
        <is>
          <t>只表達價值立場或政治／政策偏好，沒有理論、案例或資料支撐</t>
        </is>
      </c>
      <c r="B46" s="6" t="n"/>
      <c r="C46" s="4" t="inlineStr">
        <is>
          <t>回題庫立場與理論第一題。</t>
        </is>
      </c>
    </row>
    <row r="47" ht="37" customHeight="1" s="14">
      <c r="A47" s="4" t="inlineStr">
        <is>
          <t>知道法條、案例或學者名稱，但說不出它們在論證中到底做什麼</t>
        </is>
      </c>
      <c r="B47" s="6" t="n"/>
      <c r="C47" s="4" t="inlineStr">
        <is>
          <t>回題庫立場與理論第三題。</t>
        </is>
      </c>
    </row>
    <row r="48" ht="37" customHeight="1" s="14">
      <c r="A48" s="4" t="inlineStr">
        <is>
          <t>反方一出現就重複原本立場，沒有真正回應對方最強論點</t>
        </is>
      </c>
      <c r="B48" s="6" t="n"/>
      <c r="C48" s="4" t="inlineStr">
        <is>
          <t>回題庫與素材第四節。</t>
        </is>
      </c>
    </row>
    <row r="49" ht="37" customHeight="1" s="14">
      <c r="A49" s="4" t="inlineStr">
        <is>
          <t>研究問題、理論與方法彼此對不起來，推論前後不一致</t>
        </is>
      </c>
      <c r="B49" s="6" t="n"/>
      <c r="C49" s="4" t="inlineStr">
        <is>
          <t>回檢核表第 2 區第五項。</t>
        </is>
      </c>
    </row>
    <row r="50" ht="37" customHeight="1" s="14">
      <c r="A50" s="4" t="inlineStr">
        <is>
          <t>資料或案例取得被質疑時，只說到時候再找，沒有替代方案</t>
        </is>
      </c>
      <c r="B50" s="6" t="n"/>
      <c r="C50" s="4" t="inlineStr">
        <is>
          <t>回題庫方法與資料第四題。</t>
        </is>
      </c>
    </row>
    <row r="51" ht="32" customHeight="1" s="14">
      <c r="A51" s="18" t="n"/>
      <c r="B51" s="19" t="n"/>
      <c r="C51" s="18" t="n"/>
    </row>
    <row r="52" ht="42" customHeight="1" s="14">
      <c r="A52" s="11" t="inlineStr">
        <is>
          <t>打完切到「我到哪了」分頁看結果。</t>
        </is>
      </c>
    </row>
    <row r="53" ht="14" customHeight="1" s="14"/>
    <row r="54" ht="28" customHeight="1" s="14">
      <c r="A54" s="5" t="inlineStr">
        <is>
          <t># 搭配文章：法政研究所口試怎麼準備？答辯研究計畫的完整邏輯　https://tbd-edu.com/pages/resources/law-graduate-oral.html</t>
        </is>
      </c>
    </row>
    <row r="55" ht="28" customHeight="1" s="14">
      <c r="A55" s="5" t="inlineStr">
        <is>
          <t># TBD Studio ｜ https://tbd-edu.com/</t>
        </is>
      </c>
    </row>
  </sheetData>
  <mergeCells count="6">
    <mergeCell ref="A10:C10"/>
    <mergeCell ref="A28:C28"/>
    <mergeCell ref="A19:C19"/>
    <mergeCell ref="A40:C40"/>
    <mergeCell ref="A2:C2"/>
    <mergeCell ref="A52:C52"/>
  </mergeCells>
  <dataValidations count="1">
    <dataValidation sqref="B6:B9 B14:B18 B23:B27 B32:B39 B44:B51" showDropDown="0" showInputMessage="0" showErrorMessage="0" allowBlank="0" type="list">
      <formula1>"✓"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zoomScale="75" workbookViewId="0">
      <pane ySplit="2" topLeftCell="A7" activePane="bottomLeft" state="frozen"/>
      <selection pane="bottomLeft" activeCell="A20" activeCellId="1" sqref="A14:XFD14 A20:XFD20"/>
    </sheetView>
  </sheetViews>
  <sheetFormatPr baseColWidth="10" defaultColWidth="9" defaultRowHeight="14"/>
  <cols>
    <col width="43.59765625" customWidth="1" style="14" min="1" max="1"/>
    <col width="20.3984375" customWidth="1" style="14" min="2" max="2"/>
    <col width="61.59765625" customWidth="1" style="14" min="3" max="3"/>
    <col width="81" customWidth="1" style="14" min="4" max="4"/>
    <col width="12" customWidth="1" style="14" min="5" max="6"/>
  </cols>
  <sheetData>
    <row r="1" ht="30" customHeight="1" s="14">
      <c r="A1" s="2" t="inlineStr">
        <is>
          <t>法政｜口試自我檢核表：立場論證與反駁　v1</t>
        </is>
      </c>
    </row>
    <row r="2" ht="28" customHeight="1" s="14">
      <c r="A2" s="20" t="inlineStr">
        <is>
          <t>數字會跟著前面的分頁自動變。留白的項目就是你接下來的工作清單。</t>
        </is>
      </c>
    </row>
    <row r="3" ht="40" customHeight="1" s="14"/>
    <row r="4" ht="24" customHeight="1" s="14">
      <c r="A4" s="1" t="inlineStr">
        <is>
          <t>7 區完成度</t>
        </is>
      </c>
    </row>
    <row r="5" ht="26" customHeight="1" s="14">
      <c r="A5" s="3" t="inlineStr">
        <is>
          <t>區塊</t>
        </is>
      </c>
      <c r="B5" s="3" t="inlineStr">
        <is>
          <t>已確認</t>
        </is>
      </c>
      <c r="C5" s="3" t="inlineStr">
        <is>
          <t>完成的比例（滿格代表這一區做完）</t>
        </is>
      </c>
      <c r="D5" s="3" t="inlineStr">
        <is>
          <t>這一區在檢查什麼</t>
        </is>
      </c>
    </row>
    <row r="6" ht="32" customHeight="1" s="14">
      <c r="A6" s="4" t="inlineStr">
        <is>
          <t>題庫：寫出答案</t>
        </is>
      </c>
      <c r="B6" s="4">
        <f>COUNTIF(題庫與素材!D6:D24,"✓")&amp;" / 19"</f>
        <v/>
      </c>
      <c r="C6" s="4">
        <f>IF(COUNTIF(題庫與素材!D6:D24,"✓")=0,"尚未開始",REPT("█",ROUND(COUNTIF(題庫與素材!D6:D24,"✓")/19*16,0)))</f>
        <v/>
      </c>
      <c r="D6" s="4" t="inlineStr">
        <is>
          <t>四類追問十九題，寫得出關鍵字了沒。</t>
        </is>
      </c>
    </row>
    <row r="7" ht="32" customHeight="1" s="14">
      <c r="A7" s="4" t="inlineStr">
        <is>
          <t>題庫：練過口說</t>
        </is>
      </c>
      <c r="B7" s="4">
        <f>COUNTIF(題庫與素材!E6:E24,"✓")&amp;" / 19"</f>
        <v/>
      </c>
      <c r="C7" s="4">
        <f>IF(COUNTIF(題庫與素材!E6:E24,"✓")=0,"尚未開始",REPT("█",ROUND(COUNTIF(題庫與素材!E6:E24,"✓")/19*16,0)))</f>
        <v/>
      </c>
      <c r="D7" s="4" t="inlineStr">
        <is>
          <t>同樣十九題，被從反方追問時講得出來了沒。</t>
        </is>
      </c>
    </row>
    <row r="8" ht="32" customHeight="1" s="14">
      <c r="A8" s="4" t="inlineStr">
        <is>
          <t>開場：一分鐘立場說明</t>
        </is>
      </c>
      <c r="B8" s="4">
        <f>COUNTIF(檢核表!B6:B9,"✓")&amp;" / 4"</f>
        <v/>
      </c>
      <c r="C8" s="4">
        <f>IF(COUNTIF(檢核表!B6:B9,"✓")=0,"尚未開始",REPT("█",ROUND(COUNTIF(檢核表!B6:B9,"✓")/4*16,0)))</f>
        <v/>
      </c>
      <c r="D8" s="4" t="inlineStr">
        <is>
          <t>60-90 秒內講完、立場可以被反對、被打斷接得回來。</t>
        </is>
      </c>
    </row>
    <row r="9" ht="32" customHeight="1" s="14">
      <c r="A9" s="4" t="inlineStr">
        <is>
          <t>最強反方與推論一致性</t>
        </is>
      </c>
      <c r="B9" s="4">
        <f>COUNTIF(檢核表!B14:B18,"✓")&amp;" / 5"</f>
        <v/>
      </c>
      <c r="C9" s="4">
        <f>IF(COUNTIF(檢核表!B14:B18,"✓")=0,"尚未開始",REPT("█",ROUND(COUNTIF(檢核表!B14:B18,"✓")/5*16,0)))</f>
        <v/>
      </c>
      <c r="D9" s="4" t="inlineStr">
        <is>
          <t>知不知道對方最強的論據、哪些反例會動搖結論。</t>
        </is>
      </c>
    </row>
    <row r="10" ht="32" customHeight="1" s="14">
      <c r="A10" s="4" t="inlineStr">
        <is>
          <t>被質疑或問到不會回答時</t>
        </is>
      </c>
      <c r="B10" s="4">
        <f>COUNTIF(檢核表!B23:B27,"✓")&amp;" / 5"</f>
        <v/>
      </c>
      <c r="C10" s="4">
        <f>IF(COUNTIF(檢核表!B23:B27,"✓")=0,"尚未開始",REPT("█",ROUND(COUNTIF(檢核表!B23:B27,"✓")/5*16,0)))</f>
        <v/>
      </c>
      <c r="D10" s="4" t="inlineStr">
        <is>
          <t>六步練過了沒，有沒有硬凹、棄守或情緒化。</t>
        </is>
      </c>
    </row>
    <row r="11" ht="32" customHeight="1" s="14">
      <c r="A11" s="4" t="inlineStr">
        <is>
          <t>上場前檢核</t>
        </is>
      </c>
      <c r="B11" s="4">
        <f>COUNTIF(檢核表!B32:B39,"✓")&amp;" / 8"</f>
        <v/>
      </c>
      <c r="C11" s="4">
        <f>IF(COUNTIF(檢核表!B32:B39,"✓")=0,"尚未開始",REPT("█",ROUND(COUNTIF(檢核表!B32:B39,"✓")/8*16,0)))</f>
        <v/>
      </c>
      <c r="D11" s="4" t="inlineStr">
        <is>
          <t>最後那道閘門。這八項沒到就還不能上場。</t>
        </is>
      </c>
    </row>
    <row r="12" ht="32" customHeight="1" s="14">
      <c r="A12" s="4" t="inlineStr">
        <is>
          <t>常見失分點</t>
        </is>
      </c>
      <c r="B12" s="4">
        <f>COUNTIF(檢核表!B44:B50,"✓")&amp;" / 7"</f>
        <v/>
      </c>
      <c r="C12" s="4">
        <f>IF(COUNTIF(檢核表!B44:B50,"✓")=0,"尚未開始",REPT("█",ROUND(COUNTIF(檢核表!B44:B50,"✓")/7*16,0)))</f>
        <v/>
      </c>
      <c r="D12" s="4" t="inlineStr">
        <is>
          <t>有沒有踩到最常見的七個失分回答。</t>
        </is>
      </c>
    </row>
    <row r="13" ht="32" customHeight="1" s="14">
      <c r="A13" s="4" t="inlineStr">
        <is>
          <t>合計</t>
        </is>
      </c>
      <c r="B13" s="4">
        <f>(COUNTIF(題庫與素材!D6:D24,"✓")+COUNTIF(題庫與素材!E6:E24,"✓")+COUNTIF(檢核表!B6:B9,"✓")+COUNTIF(檢核表!B14:B18,"✓")+COUNTIF(檢核表!B23:B27,"✓")+COUNTIF(檢核表!B32:B39,"✓")+COUNTIF(檢核表!B44:B50,"✓"))&amp;" / 67"</f>
        <v/>
      </c>
      <c r="C13" s="4">
        <f>IF((COUNTIF(題庫與素材!D6:D24,"✓")+COUNTIF(題庫與素材!E6:E24,"✓")+COUNTIF(檢核表!B6:B9,"✓")+COUNTIF(檢核表!B14:B18,"✓")+COUNTIF(檢核表!B23:B27,"✓")+COUNTIF(檢核表!B32:B39,"✓")+COUNTIF(檢核表!B44:B50,"✓"))=0,"尚未開始",REPT("█",ROUND((COUNTIF(題庫與素材!D6:D24,"✓")+COUNTIF(題庫與素材!E6:E24,"✓")+COUNTIF(檢核表!B6:B9,"✓")+COUNTIF(檢核表!B14:B18,"✓")+COUNTIF(檢核表!B23:B27,"✓")+COUNTIF(檢核表!B32:B39,"✓")+COUNTIF(檢核表!B44:B50,"✓"))/67*16,0)))</f>
        <v/>
      </c>
      <c r="D13" s="4" t="inlineStr">
        <is>
          <t>完成率見下方。</t>
        </is>
      </c>
    </row>
    <row r="14" ht="42" customHeight="1" s="14">
      <c r="A14" s="11" t="inlineStr">
        <is>
          <t>8 條長條都換算成同一個滿格刻度，所以可以直接互相比。最短的那一區就是你目前最弱的地方。</t>
        </is>
      </c>
    </row>
    <row r="15" ht="40" customHeight="1" s="14"/>
    <row r="16" ht="24" customHeight="1" s="14">
      <c r="A16" s="1" t="inlineStr">
        <is>
          <t>還有什麼可以做</t>
        </is>
      </c>
    </row>
    <row r="17" ht="26" customHeight="1" s="14">
      <c r="A17" s="3" t="inlineStr">
        <is>
          <t>完成率</t>
        </is>
      </c>
      <c r="B17" s="3" t="inlineStr">
        <is>
          <t>還沒打勾</t>
        </is>
      </c>
      <c r="C17" s="3" t="inlineStr">
        <is>
          <t>怎麼用這兩個數字</t>
        </is>
      </c>
    </row>
    <row r="18" ht="70" customHeight="1" s="14">
      <c r="A18" s="7">
        <f>(COUNTIF(題庫與素材!D6:D24,"✓")+COUNTIF(題庫與素材!E6:E24,"✓")+COUNTIF(檢核表!B6:B9,"✓")+COUNTIF(檢核表!B14:B18,"✓")+COUNTIF(檢核表!B23:B27,"✓")+COUNTIF(檢核表!B32:B39,"✓")+COUNTIF(檢核表!B44:B50,"✓"))/67</f>
        <v/>
      </c>
      <c r="B18" s="4">
        <f>67-(COUNTIF(題庫與素材!D6:D24,"✓")+COUNTIF(題庫與素材!E6:E24,"✓")+COUNTIF(檢核表!B6:B9,"✓")+COUNTIF(檢核表!B14:B18,"✓")+COUNTIF(檢核表!B23:B27,"✓")+COUNTIF(檢核表!B32:B39,"✓")+COUNTIF(檢核表!B44:B50,"✓"))</f>
        <v/>
      </c>
      <c r="C18" s="4" t="inlineStr">
        <is>
          <t>「還沒打勾」就是你的工作清單長度。回「檢核表」看那幾列的「下一步」欄，一項對應一件要做的事。</t>
        </is>
      </c>
    </row>
    <row r="19" ht="42" customHeight="1" s="14">
      <c r="A19" s="11" t="inlineStr">
        <is>
          <t>不用追求一次補完。每次回來處理三到五項，隔幾天再打一次，你會看得到自己的進度。</t>
        </is>
      </c>
    </row>
    <row r="20" ht="14" customHeight="1" s="14"/>
    <row r="21" ht="28" customHeight="1" s="14">
      <c r="A21" s="5" t="inlineStr">
        <is>
          <t># 搭配文章：法政研究所口試怎麼準備？答辯研究計畫的完整邏輯　https://tbd-edu.com/pages/resources/law-graduate-oral.html</t>
        </is>
      </c>
    </row>
    <row r="22" ht="28" customHeight="1" s="14">
      <c r="A22" s="5" t="inlineStr">
        <is>
          <t># TBD Studio ｜ https://tbd-edu.com/</t>
        </is>
      </c>
    </row>
  </sheetData>
  <mergeCells count="3">
    <mergeCell ref="A14:D14"/>
    <mergeCell ref="A19:D19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tabSelected="1" zoomScale="75" workbookViewId="0">
      <pane ySplit="2" topLeftCell="A3" activePane="bottomLeft" state="frozen"/>
      <selection pane="bottomLeft" activeCell="C28" sqref="C28"/>
    </sheetView>
  </sheetViews>
  <sheetFormatPr baseColWidth="10" defaultColWidth="9" defaultRowHeight="14"/>
  <cols>
    <col width="16" customWidth="1" style="14" min="1" max="1"/>
    <col width="22" customWidth="1" style="14" min="2" max="2"/>
    <col width="60.796875" customWidth="1" style="14" min="3" max="3"/>
    <col width="58.59765625" customWidth="1" style="14" min="4" max="4"/>
    <col width="14" customWidth="1" style="14" min="5" max="5"/>
    <col width="12" customWidth="1" style="14" min="6" max="6"/>
  </cols>
  <sheetData>
    <row r="1" ht="30" customHeight="1" s="14">
      <c r="A1" s="2" t="inlineStr">
        <is>
          <t>法政｜口試自我檢核表：立場論證與反駁　v1</t>
        </is>
      </c>
    </row>
    <row r="2" ht="28" customHeight="1" s="14">
      <c r="A2" s="20" t="inlineStr">
        <is>
          <t>每模擬一次記一列。被問倒的地方就是接下來要補的，不用寫得漂亮。淡黃色的儲存格是要你填或勾的，其餘是給你讀的。</t>
        </is>
      </c>
    </row>
    <row r="3" ht="40" customHeight="1" s="14"/>
    <row r="4" ht="24" customHeight="1" s="14">
      <c r="A4" s="1" t="inlineStr">
        <is>
          <t>模擬追問紀錄</t>
        </is>
      </c>
    </row>
    <row r="5" ht="26" customHeight="1" s="14">
      <c r="A5" s="3" t="inlineStr">
        <is>
          <t>日期</t>
        </is>
      </c>
      <c r="B5" s="3" t="inlineStr">
        <is>
          <t>追問類型</t>
        </is>
      </c>
      <c r="C5" s="3" t="inlineStr">
        <is>
          <t>被問倒的地方</t>
        </is>
      </c>
      <c r="D5" s="3" t="inlineStr">
        <is>
          <t>我的下一步</t>
        </is>
      </c>
      <c r="E5" s="3" t="inlineStr">
        <is>
          <t>已改進</t>
        </is>
      </c>
    </row>
    <row r="6" ht="32" customHeight="1" s="14">
      <c r="A6" s="8" t="n"/>
      <c r="B6" s="6" t="n"/>
      <c r="C6" s="6" t="n"/>
      <c r="D6" s="6" t="n"/>
      <c r="E6" s="6" t="n"/>
    </row>
    <row r="7" ht="32" customHeight="1" s="14">
      <c r="A7" s="8" t="n"/>
      <c r="B7" s="6" t="n"/>
      <c r="C7" s="6" t="n"/>
      <c r="D7" s="6" t="n"/>
      <c r="E7" s="6" t="n"/>
    </row>
    <row r="8" ht="32" customHeight="1" s="14">
      <c r="A8" s="8" t="n"/>
      <c r="B8" s="6" t="n"/>
      <c r="C8" s="6" t="n"/>
      <c r="D8" s="6" t="n"/>
      <c r="E8" s="6" t="n"/>
    </row>
    <row r="9" ht="32" customHeight="1" s="14">
      <c r="A9" s="8" t="n"/>
      <c r="B9" s="6" t="n"/>
      <c r="C9" s="6" t="n"/>
      <c r="D9" s="6" t="n"/>
      <c r="E9" s="6" t="n"/>
    </row>
    <row r="10" ht="32" customHeight="1" s="14">
      <c r="A10" s="8" t="n"/>
      <c r="B10" s="6" t="n"/>
      <c r="C10" s="6" t="n"/>
      <c r="D10" s="6" t="n"/>
      <c r="E10" s="6" t="n"/>
    </row>
    <row r="11" ht="32" customHeight="1" s="14">
      <c r="A11" s="8" t="n"/>
      <c r="B11" s="6" t="n"/>
      <c r="C11" s="6" t="n"/>
      <c r="D11" s="6" t="n"/>
      <c r="E11" s="6" t="n"/>
    </row>
    <row r="12" ht="32" customHeight="1" s="14">
      <c r="A12" s="8" t="n"/>
      <c r="B12" s="6" t="n"/>
      <c r="C12" s="6" t="n"/>
      <c r="D12" s="6" t="n"/>
      <c r="E12" s="6" t="n"/>
    </row>
    <row r="13" ht="32" customHeight="1" s="14">
      <c r="A13" s="8" t="n"/>
      <c r="B13" s="6" t="n"/>
      <c r="C13" s="6" t="n"/>
      <c r="D13" s="6" t="n"/>
      <c r="E13" s="6" t="n"/>
    </row>
    <row r="14" ht="32" customHeight="1" s="14">
      <c r="A14" s="8" t="n"/>
      <c r="B14" s="6" t="n"/>
      <c r="C14" s="6" t="n"/>
      <c r="D14" s="6" t="n"/>
      <c r="E14" s="6" t="n"/>
    </row>
    <row r="15" ht="32" customHeight="1" s="14">
      <c r="A15" s="8" t="n"/>
      <c r="B15" s="6" t="n"/>
      <c r="C15" s="6" t="n"/>
      <c r="D15" s="6" t="n"/>
      <c r="E15" s="6" t="n"/>
    </row>
    <row r="16" ht="42" customHeight="1" s="14">
      <c r="A16" s="11" t="inlineStr">
        <is>
          <t>自己想過和被別人從反方連續追問是兩種壓力。找學長姐、同學或顧問各做一輪，用質疑的語氣，四類方向都要問到。</t>
        </is>
      </c>
    </row>
    <row r="17" ht="14" customHeight="1" s="14"/>
    <row r="18" ht="28" customHeight="1" s="14">
      <c r="A18" s="5" t="inlineStr">
        <is>
          <t># 搭配文章：法政研究所口試怎麼準備？答辯研究計畫的完整邏輯　https://tbd-edu.com/pages/resources/law-graduate-oral.html</t>
        </is>
      </c>
    </row>
    <row r="19" ht="28" customHeight="1" s="14">
      <c r="A19" s="5" t="inlineStr">
        <is>
          <t># TBD Studio ｜ https://tbd-edu.com/</t>
        </is>
      </c>
    </row>
  </sheetData>
  <mergeCells count="2">
    <mergeCell ref="A2:E2"/>
    <mergeCell ref="A16:E16"/>
  </mergeCells>
  <dataValidations count="2">
    <dataValidation sqref="E6:E15" showDropDown="0" showInputMessage="0" showErrorMessage="0" allowBlank="0" type="list">
      <formula1>"是,還沒"</formula1>
    </dataValidation>
    <dataValidation sqref="B6:B15" showDropDown="0" showInputMessage="0" showErrorMessage="0" allowBlank="0" type="list">
      <formula1>"問題與範圍,立場與理論,方法與資料,動機與適配"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2026-09-21T09:17:59Z</dcterms:created>
  <dcterms:modified xmlns:dcterms="http://purl.org/dc/terms/" xmlns:xsi="http://www.w3.org/2001/XMLSchema-instance" xsi:type="dcterms:W3CDTF">2026-09-24T14:04:39Z</dcterms:modified>
  <cp:lastModifiedBy>TBD Studio</cp:lastModifiedBy>
</cp:coreProperties>
</file>