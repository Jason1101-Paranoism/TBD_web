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所推甄時程倒數與任務甘特圖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6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1F3A5F"/>
      <sz val="15"/>
    </font>
    <font>
      <name val="Arial"/>
      <family val="2"/>
      <color theme="1"/>
      <sz val="10"/>
      <scheme val="minor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color theme="1"/>
      <sz val="16"/>
      <scheme val="minor"/>
    </font>
    <font>
      <name val="Arial"/>
      <family val="2"/>
      <color rgb="FF000000"/>
      <sz val="16"/>
      <scheme val="minor"/>
    </font>
    <font>
      <name val="Arial"/>
      <family val="2"/>
      <color rgb="FF3F5674"/>
      <sz val="16"/>
      <scheme val="minor"/>
    </font>
    <font>
      <name val="Arial"/>
      <family val="2"/>
      <sz val="16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b val="1"/>
      <color rgb="FF1F3A5F"/>
      <sz val="24"/>
    </font>
    <font>
      <name val="Arial"/>
      <family val="2"/>
      <b val="1"/>
      <color rgb="FF3F5674"/>
      <sz val="16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FFFFFF"/>
      <sz val="16"/>
    </font>
    <font>
      <name val="Arial"/>
      <family val="2"/>
      <b val="1"/>
      <color rgb="FF1F3A5F"/>
      <sz val="16"/>
    </font>
    <font>
      <name val="Courier New"/>
      <family val="1"/>
      <color theme="1" tint="0.3499862666707358"/>
      <sz val="16"/>
    </font>
    <font>
      <name val="Microsoft JhengHei"/>
      <charset val="136"/>
      <family val="2"/>
      <color rgb="FF3F5674"/>
      <sz val="16"/>
    </font>
  </fonts>
  <fills count="7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  <fill>
      <patternFill patternType="solid">
        <fgColor rgb="FF1F3A5F"/>
      </patternFill>
    </fill>
    <fill>
      <patternFill patternType="solid">
        <fgColor rgb="FFE4EAF2"/>
      </patternFill>
    </fill>
  </fills>
  <borders count="5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45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5" fillId="2" borderId="0" pivotButton="0" quotePrefix="0" xfId="0"/>
    <xf numFmtId="0" fontId="13" fillId="0" borderId="0" applyAlignment="1" pivotButton="0" quotePrefix="0" xfId="0">
      <alignment vertical="top" wrapText="1"/>
    </xf>
    <xf numFmtId="0" fontId="13" fillId="0" borderId="0" pivotButton="0" quotePrefix="0" xfId="0"/>
    <xf numFmtId="0" fontId="16" fillId="3" borderId="1" applyAlignment="1" pivotButton="0" quotePrefix="0" xfId="0">
      <alignment vertical="center" wrapText="1"/>
    </xf>
    <xf numFmtId="0" fontId="13" fillId="0" borderId="2" pivotButton="0" quotePrefix="0" xfId="0"/>
    <xf numFmtId="0" fontId="13" fillId="0" borderId="1" applyAlignment="1" pivotButton="0" quotePrefix="0" xfId="0">
      <alignment vertical="top" wrapText="1"/>
    </xf>
    <xf numFmtId="0" fontId="17" fillId="0" borderId="2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2" fillId="5" borderId="3" applyAlignment="1" pivotButton="0" quotePrefix="0" xfId="0">
      <alignment vertical="center" wrapText="1"/>
    </xf>
    <xf numFmtId="0" fontId="20" fillId="0" borderId="3" applyAlignment="1" pivotButton="0" quotePrefix="0" xfId="0">
      <alignment vertical="top" wrapText="1"/>
    </xf>
    <xf numFmtId="14" fontId="20" fillId="0" borderId="3" applyAlignment="1" pivotButton="0" quotePrefix="0" xfId="0">
      <alignment vertical="top" wrapText="1"/>
    </xf>
    <xf numFmtId="0" fontId="20" fillId="4" borderId="3" applyAlignment="1" pivotButton="0" quotePrefix="0" xfId="0">
      <alignment vertical="top" wrapText="1"/>
    </xf>
    <xf numFmtId="0" fontId="23" fillId="6" borderId="0" pivotButton="0" quotePrefix="0" xfId="0"/>
    <xf numFmtId="0" fontId="20" fillId="0" borderId="2" applyAlignment="1" pivotButton="0" quotePrefix="0" xfId="0">
      <alignment vertical="top" wrapText="1"/>
    </xf>
    <xf numFmtId="0" fontId="24" fillId="0" borderId="4" applyAlignment="1" pivotButton="0" quotePrefix="0" xfId="0">
      <alignment vertical="center"/>
    </xf>
    <xf numFmtId="14" fontId="12" fillId="4" borderId="3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4" fontId="21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4" pivotButton="0" quotePrefix="0" xfId="0"/>
    <xf numFmtId="0" fontId="13" fillId="0" borderId="4" applyAlignment="1" pivotButton="0" quotePrefix="0" xfId="0">
      <alignment vertical="top" wrapText="1"/>
    </xf>
    <xf numFmtId="0" fontId="0" fillId="0" borderId="0" pivotButton="0" quotePrefix="0" xfId="0"/>
    <xf numFmtId="0" fontId="14" fillId="0" borderId="4" applyAlignment="1" pivotButton="0" quotePrefix="0" xfId="0">
      <alignment horizontal="left" vertical="top" wrapText="1"/>
    </xf>
    <xf numFmtId="0" fontId="20" fillId="0" borderId="4" applyAlignment="1" pivotButton="0" quotePrefix="0" xfId="0">
      <alignment vertical="top" wrapText="1"/>
    </xf>
    <xf numFmtId="0" fontId="21" fillId="0" borderId="4" applyAlignment="1" pivotButton="0" quotePrefix="0" xfId="0">
      <alignment vertical="top" wrapText="1"/>
    </xf>
    <xf numFmtId="0" fontId="25" fillId="0" borderId="4" applyAlignment="1" pivotButton="0" quotePrefix="0" xfId="0">
      <alignment vertical="top" wrapText="1"/>
    </xf>
    <xf numFmtId="164" fontId="9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</cellXfs>
  <cellStyles count="1">
    <cellStyle name="一般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graduate-timeline-gantt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31"/>
  <sheetViews>
    <sheetView showGridLines="0" zoomScale="75" workbookViewId="0">
      <pane ySplit="2" topLeftCell="A5" activePane="bottomLeft" state="frozen"/>
      <selection pane="bottomLeft" activeCell="A2" sqref="A2:B2"/>
    </sheetView>
  </sheetViews>
  <sheetFormatPr baseColWidth="10" defaultColWidth="12.6640625" defaultRowHeight="22" customHeight="1"/>
  <cols>
    <col width="33" customWidth="1" style="38" min="1" max="1"/>
    <col width="94.83203125" customWidth="1" style="38" min="2" max="2"/>
    <col width="12.6640625" customWidth="1" style="38" min="3" max="3"/>
  </cols>
  <sheetData>
    <row r="1" ht="30" customHeight="1" s="38">
      <c r="A1" s="7" t="inlineStr">
        <is>
          <t>研究所推甄時程倒數與任務甘特圖　v1</t>
        </is>
      </c>
      <c r="B1" s="4" t="n"/>
    </row>
    <row r="2" ht="28" customHeight="1" s="38">
      <c r="A2" s="39" t="inlineStr">
        <is>
          <t>先讀這頁，大約兩分鐘。工具在下一個分頁。淡黃色的儲存格是要你填或勾的，其餘是給你讀的。</t>
        </is>
      </c>
    </row>
    <row r="3" ht="40" customHeight="1" s="38">
      <c r="A3" s="5" t="n"/>
      <c r="B3" s="5" t="n"/>
    </row>
    <row r="4" ht="24" customHeight="1" s="38">
      <c r="A4" s="13" t="inlineStr">
        <is>
          <t>這份工具解決什麼</t>
        </is>
      </c>
      <c r="B4" s="14" t="n"/>
    </row>
    <row r="5" ht="40" customHeight="1" s="38">
      <c r="A5" s="37" t="inlineStr">
        <is>
          <t>幫你把研究所推甄從方向確認、研究計畫、推薦信到送件與口試拆成可執行的時間表，避免只記截止日卻不知道現在該做什麼。</t>
        </is>
      </c>
    </row>
    <row r="6" ht="40" customHeight="1" s="38">
      <c r="A6" s="5" t="n"/>
      <c r="B6" s="5" t="n"/>
    </row>
    <row r="7" ht="24" customHeight="1" s="38">
      <c r="A7" s="13" t="inlineStr">
        <is>
          <t>什麼時候用</t>
        </is>
      </c>
      <c r="B7" s="14" t="n"/>
    </row>
    <row r="8" ht="32" customHeight="1" s="38">
      <c r="A8" s="37" t="inlineStr">
        <is>
          <t>一確定要準備研究所推甄就可以開始用，最晚在第一間目標校送件前數月建立完整時程。</t>
        </is>
      </c>
    </row>
    <row r="9" ht="40" customHeight="1" s="38">
      <c r="A9" s="5" t="n"/>
      <c r="B9" s="5" t="n"/>
    </row>
    <row r="10" ht="24" customHeight="1" s="38">
      <c r="A10" s="13" t="inlineStr">
        <is>
          <t>三個步驟</t>
        </is>
      </c>
      <c r="B10" s="15" t="n"/>
      <c r="C10" s="6" t="n"/>
      <c r="D10" s="6" t="n"/>
      <c r="E10" s="6" t="n"/>
      <c r="F10" s="6" t="n"/>
    </row>
    <row r="11" ht="26" customHeight="1" s="38">
      <c r="A11" s="16" t="inlineStr">
        <is>
          <t>步驟</t>
        </is>
      </c>
      <c r="B11" s="16" t="inlineStr">
        <is>
          <t>做什麼</t>
        </is>
      </c>
      <c r="C11" s="17" t="n"/>
      <c r="D11" s="17" t="n"/>
      <c r="E11" s="17" t="n"/>
      <c r="F11" s="17" t="n"/>
    </row>
    <row r="12" ht="40" customHeight="1" s="38">
      <c r="A12" s="18" t="inlineStr">
        <is>
          <t>第 1 步</t>
        </is>
      </c>
      <c r="B12" s="18" t="inlineStr">
        <is>
          <t>切到甘特圖分頁，只修改第一間目標校的送件截止日。</t>
        </is>
      </c>
    </row>
    <row r="13" ht="40" customHeight="1" s="38">
      <c r="A13" s="18" t="inlineStr">
        <is>
          <t>第 2 步</t>
        </is>
      </c>
      <c r="B13" s="18" t="inlineStr">
        <is>
          <t>下面的建議開始、完成、距今天與提醒會自動重算，依提醒安排當週工作。</t>
        </is>
      </c>
    </row>
    <row r="14" ht="40" customHeight="1" s="38">
      <c r="A14" s="18" t="inlineStr">
        <is>
          <t>第 3 步</t>
        </is>
      </c>
      <c r="B14" s="18" t="inlineStr">
        <is>
          <t>持續更新狀態與備註；完成一項就標記完成，讓提醒欄只留下還需要處理的任務。</t>
        </is>
      </c>
    </row>
    <row r="15" ht="40" customHeight="1" s="38">
      <c r="A15" s="5" t="n"/>
      <c r="B15" s="5" t="n"/>
    </row>
    <row r="16" ht="24" customHeight="1" s="38">
      <c r="A16" s="13" t="inlineStr">
        <is>
          <t>日期怎麼看</t>
        </is>
      </c>
      <c r="B16" s="5" t="n"/>
    </row>
    <row r="17" ht="52" customHeight="1" s="38">
      <c r="A17" s="37" t="inlineStr">
        <is>
          <t>「距今天」為負代表已經超過建議開始日；「距送件」為負代表該任務應在送件前完成。第二間之後的截止日仍需另外記錄。</t>
        </is>
      </c>
    </row>
    <row r="18" ht="40" customHeight="1" s="38">
      <c r="A18" s="5" t="n"/>
      <c r="B18" s="5" t="n"/>
    </row>
    <row r="19" ht="24" customHeight="1" s="38">
      <c r="A19" s="13" t="inlineStr">
        <is>
          <t>卡關時</t>
        </is>
      </c>
      <c r="B19" s="5" t="n"/>
    </row>
    <row r="20" ht="55" customHeight="1" s="38">
      <c r="A20" s="37" t="inlineStr">
        <is>
          <t>如果大量任務已逾期，不要平均分配時間；先依工具下方的優先順序處理研究計畫、推薦信與申請名單，再補其他文件。</t>
        </is>
      </c>
    </row>
    <row r="21" ht="14" customHeight="1" s="38">
      <c r="A21" s="5" t="n"/>
      <c r="B21" s="5" t="n"/>
    </row>
    <row r="22" ht="28" customHeight="1" s="38">
      <c r="A22" s="19" t="inlineStr">
        <is>
          <t># 搭配文章：研究所推甄時程規劃：大三下到大四上完整準備　https://tbd-edu.com/pages/resources/graduate-timeline.html</t>
        </is>
      </c>
      <c r="B22" s="5" t="n"/>
    </row>
    <row r="23" ht="28" customHeight="1" s="38">
      <c r="A23" s="19" t="inlineStr">
        <is>
          <t># TBD Studio ｜ https://tbd-edu.com/</t>
        </is>
      </c>
      <c r="B23" s="5" t="n"/>
    </row>
    <row r="24" ht="14" customHeight="1" s="38">
      <c r="A24" s="5" t="n"/>
      <c r="B24" s="5" t="n"/>
    </row>
    <row r="25" ht="14" customHeight="1" s="38">
      <c r="A25" s="5" t="n"/>
      <c r="B25" s="5" t="n"/>
    </row>
    <row r="26" ht="14" customHeight="1" s="38">
      <c r="A26" s="5" t="n"/>
      <c r="B26" s="5" t="n"/>
    </row>
    <row r="27" ht="13" customHeight="1" s="38"/>
    <row r="28" ht="13" customHeight="1" s="38"/>
    <row r="29" ht="35" customHeight="1" s="38">
      <c r="G29" s="7" t="n"/>
      <c r="H29" s="1" t="n"/>
      <c r="I29" s="1" t="n"/>
      <c r="J29" s="1" t="n"/>
      <c r="K29" s="1" t="n"/>
      <c r="L29" s="1" t="n"/>
    </row>
    <row r="30" ht="20" customHeight="1" s="38">
      <c r="G30" s="8" t="n"/>
    </row>
    <row r="31" ht="20" customHeight="1" s="38">
      <c r="G31" s="8" t="n"/>
    </row>
  </sheetData>
  <mergeCells count="5">
    <mergeCell ref="A20:B20"/>
    <mergeCell ref="A2:B2"/>
    <mergeCell ref="A5:B5"/>
    <mergeCell ref="A17:B17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38"/>
  <sheetViews>
    <sheetView showGridLines="0" tabSelected="1" zoomScale="75" zoomScaleNormal="75" workbookViewId="0">
      <pane ySplit="3" topLeftCell="A4" activePane="bottomLeft" state="frozen"/>
      <selection pane="bottomLeft" activeCell="B15" sqref="B15"/>
    </sheetView>
  </sheetViews>
  <sheetFormatPr baseColWidth="10" defaultColWidth="12.6640625" defaultRowHeight="22" customHeight="1"/>
  <cols>
    <col width="32.6640625" customWidth="1" style="38" min="1" max="1"/>
    <col width="65" customWidth="1" style="38" min="2" max="2"/>
    <col width="18.1640625" customWidth="1" style="38" min="3" max="3"/>
    <col width="18" customWidth="1" style="38" min="4" max="4"/>
    <col width="14.5" customWidth="1" style="38" min="5" max="6"/>
    <col width="24.33203125" customWidth="1" style="38" min="7" max="7"/>
    <col width="14.5" customWidth="1" style="38" min="8" max="8"/>
    <col width="67.33203125" customWidth="1" style="38" min="9" max="9"/>
  </cols>
  <sheetData>
    <row r="1" ht="63" customFormat="1" customHeight="1" s="35">
      <c r="A1" s="33" t="inlineStr">
        <is>
          <t>研究所推甄時程倒數與任務甘特圖　v1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 ht="48" customFormat="1" customHeight="1" s="31">
      <c r="A2" s="20" t="inlineStr">
        <is>
          <t>你第一間的送件截止日 →</t>
        </is>
      </c>
      <c r="B2" s="28" t="n"/>
      <c r="C2" s="29" t="n"/>
      <c r="D2" s="30" t="inlineStr">
        <is>
          <t>改 B2 的日期，下面所有日期自動重算。B3 會自動抓今天。</t>
        </is>
      </c>
      <c r="E2" s="29" t="n"/>
      <c r="F2" s="29" t="n"/>
      <c r="G2" s="29" t="n"/>
      <c r="H2" s="29" t="n"/>
      <c r="I2" s="29" t="n"/>
    </row>
    <row r="3" ht="50" customFormat="1" customHeight="1" s="31">
      <c r="A3" s="20" t="inlineStr">
        <is>
          <t>今天（自動帶入，不要改）</t>
        </is>
      </c>
      <c r="B3" s="32">
        <f>TODAY()</f>
        <v/>
      </c>
      <c r="C3" s="29" t="n"/>
      <c r="D3" s="29" t="n"/>
      <c r="E3" s="29" t="n"/>
      <c r="F3" s="29" t="n"/>
      <c r="G3" s="29" t="n"/>
      <c r="H3" s="29" t="n"/>
      <c r="I3" s="29" t="n"/>
    </row>
    <row r="4" ht="40" customFormat="1" customHeight="1" s="10">
      <c r="B4" s="12" t="n"/>
      <c r="C4" s="12" t="n"/>
      <c r="D4" s="12" t="n"/>
      <c r="E4" s="12" t="n"/>
      <c r="F4" s="12" t="n"/>
      <c r="G4" s="12" t="n"/>
      <c r="H4" s="12" t="n"/>
      <c r="I4" s="12" t="n"/>
    </row>
    <row r="5" ht="26" customHeight="1" s="38">
      <c r="A5" s="21" t="inlineStr">
        <is>
          <t>階段</t>
        </is>
      </c>
      <c r="B5" s="21" t="inlineStr">
        <is>
          <t>任務</t>
        </is>
      </c>
      <c r="C5" s="21" t="inlineStr">
        <is>
          <t>建議開始</t>
        </is>
      </c>
      <c r="D5" s="21" t="inlineStr">
        <is>
          <t>建議完成</t>
        </is>
      </c>
      <c r="E5" s="21" t="inlineStr">
        <is>
          <t>距今天</t>
        </is>
      </c>
      <c r="F5" s="21" t="inlineStr">
        <is>
          <t>距送件</t>
        </is>
      </c>
      <c r="G5" s="21" t="inlineStr">
        <is>
          <t>提醒</t>
        </is>
      </c>
      <c r="H5" s="21" t="inlineStr">
        <is>
          <t>狀態</t>
        </is>
      </c>
      <c r="I5" s="21" t="inlineStr">
        <is>
          <t>備註</t>
        </is>
      </c>
    </row>
    <row r="6" ht="33" customHeight="1" s="38">
      <c r="A6" s="22" t="inlineStr">
        <is>
          <t>大三下 奠基</t>
        </is>
      </c>
      <c r="B6" s="22" t="inlineStr">
        <is>
          <t>確認想讀研究所的原因，決定研究型或實務型</t>
        </is>
      </c>
      <c r="C6" s="23">
        <f>IF($B$2="","",$B$2-240)</f>
        <v/>
      </c>
      <c r="D6" s="23">
        <f>IF($B$2="","",$B$2-210)</f>
        <v/>
      </c>
      <c r="E6" s="22">
        <f>IF($B$2="","",C6-TODAY())</f>
        <v/>
      </c>
      <c r="F6" s="22">
        <f>IF($B$2="","",D6-$B$2)</f>
        <v/>
      </c>
      <c r="G6" s="22">
        <f>IF($B$2="","",IF($H6="完成","✓",IF(C6-TODAY()&lt;0,"⚠ 已過建議開始日",IF(C6-TODAY()&lt;=14,"● 兩週內要開始",""))))</f>
        <v/>
      </c>
      <c r="H6" s="24" t="n"/>
      <c r="I6" s="22" t="inlineStr">
        <is>
          <t>這題影響研究計畫書的定位</t>
        </is>
      </c>
    </row>
    <row r="7" ht="33" customHeight="1" s="38">
      <c r="A7" s="22" t="inlineStr">
        <is>
          <t>大三下 奠基</t>
        </is>
      </c>
      <c r="B7" s="22" t="inlineStr">
        <is>
          <t>維持大三 GPA</t>
        </is>
      </c>
      <c r="C7" s="23">
        <f>IF($B$2="","",$B$2-240)</f>
        <v/>
      </c>
      <c r="D7" s="23">
        <f>IF($B$2="","",$B$2-150)</f>
        <v/>
      </c>
      <c r="E7" s="22">
        <f>IF($B$2="","",C7-TODAY())</f>
        <v/>
      </c>
      <c r="F7" s="22">
        <f>IF($B$2="","",D7-$B$2)</f>
        <v/>
      </c>
      <c r="G7" s="22">
        <f>IF($B$2="","",IF($H7="完成","✓",IF(C7-TODAY()&lt;0,"⚠ 已過建議開始日",IF(C7-TODAY()&lt;=14,"● 兩週內要開始",""))))</f>
        <v/>
      </c>
      <c r="H7" s="24" t="n"/>
      <c r="I7" s="22" t="inlineStr">
        <is>
          <t>大三成績是書審裡最新的一筆</t>
        </is>
      </c>
    </row>
    <row r="8" ht="33" customHeight="1" s="38">
      <c r="A8" s="22" t="inlineStr">
        <is>
          <t>大三下 奠基</t>
        </is>
      </c>
      <c r="B8" s="22" t="inlineStr">
        <is>
          <t>列出目標科所，查招生名額、評分比例、材料要求</t>
        </is>
      </c>
      <c r="C8" s="23">
        <f>IF($B$2="","",$B$2-210)</f>
        <v/>
      </c>
      <c r="D8" s="23">
        <f>IF($B$2="","",$B$2-180)</f>
        <v/>
      </c>
      <c r="E8" s="22">
        <f>IF($B$2="","",C8-TODAY())</f>
        <v/>
      </c>
      <c r="F8" s="22">
        <f>IF($B$2="","",D8-$B$2)</f>
        <v/>
      </c>
      <c r="G8" s="22">
        <f>IF($B$2="","",IF($H8="完成","✓",IF(C8-TODAY()&lt;0,"⚠ 已過建議開始日",IF(C8-TODAY()&lt;=14,"● 兩週內要開始",""))))</f>
        <v/>
      </c>
      <c r="H8" s="24" t="n"/>
      <c r="I8" s="22" t="inlineStr">
        <is>
          <t>一律以官網與當年度簡章為準</t>
        </is>
      </c>
    </row>
    <row r="9" ht="33" customHeight="1" s="38">
      <c r="A9" s="22" t="inlineStr">
        <is>
          <t>大三下 奠基</t>
        </is>
      </c>
      <c r="B9" s="22" t="inlineStr">
        <is>
          <t>開始與可能寫推薦信的教授建立互動</t>
        </is>
      </c>
      <c r="C9" s="23">
        <f>IF($B$2="","",$B$2-210)</f>
        <v/>
      </c>
      <c r="D9" s="23">
        <f>IF($B$2="","",$B$2-120)</f>
        <v/>
      </c>
      <c r="E9" s="22">
        <f>IF($B$2="","",C9-TODAY())</f>
        <v/>
      </c>
      <c r="F9" s="22">
        <f>IF($B$2="","",D9-$B$2)</f>
        <v/>
      </c>
      <c r="G9" s="22">
        <f>IF($B$2="","",IF($H9="完成","✓",IF(C9-TODAY()&lt;0,"⚠ 已過建議開始日",IF(C9-TODAY()&lt;=14,"● 兩週內要開始",""))))</f>
        <v/>
      </c>
      <c r="H9" s="24" t="n"/>
      <c r="I9" s="22" t="inlineStr">
        <is>
          <t>辦公室時間、認真修課、主動問問題</t>
        </is>
      </c>
    </row>
    <row r="10" ht="33" customHeight="1" s="38">
      <c r="A10" s="22" t="inlineStr">
        <is>
          <t>大三下 奠基</t>
        </is>
      </c>
      <c r="B10" s="22" t="inlineStr">
        <is>
          <t>決定申請名單（建議 2-4 所，難度分層）</t>
        </is>
      </c>
      <c r="C10" s="23">
        <f>IF($B$2="","",$B$2-180)</f>
        <v/>
      </c>
      <c r="D10" s="23">
        <f>IF($B$2="","",$B$2-150)</f>
        <v/>
      </c>
      <c r="E10" s="22">
        <f>IF($B$2="","",C10-TODAY())</f>
        <v/>
      </c>
      <c r="F10" s="22">
        <f>IF($B$2="","",D10-$B$2)</f>
        <v/>
      </c>
      <c r="G10" s="22">
        <f>IF($B$2="","",IF($H10="完成","✓",IF(C10-TODAY()&lt;0,"⚠ 已過建議開始日",IF(C10-TODAY()&lt;=14,"● 兩週內要開始",""))))</f>
        <v/>
      </c>
      <c r="H10" s="24" t="n"/>
      <c r="I10" s="22" t="inlineStr">
        <is>
          <t>不是投越多越好，難度要分層</t>
        </is>
      </c>
    </row>
    <row r="11" ht="33" customHeight="1" s="38">
      <c r="A11" s="22" t="inlineStr">
        <is>
          <t>暑假 核心</t>
        </is>
      </c>
      <c r="B11" s="22" t="inlineStr">
        <is>
          <t>找研究室幫忙或實習</t>
        </is>
      </c>
      <c r="C11" s="23">
        <f>IF($B$2="","",$B$2-120)</f>
        <v/>
      </c>
      <c r="D11" s="23">
        <f>IF($B$2="","",$B$2-60)</f>
        <v/>
      </c>
      <c r="E11" s="22">
        <f>IF($B$2="","",C11-TODAY())</f>
        <v/>
      </c>
      <c r="F11" s="22">
        <f>IF($B$2="","",D11-$B$2)</f>
        <v/>
      </c>
      <c r="G11" s="22">
        <f>IF($B$2="","",IF($H11="完成","✓",IF(C11-TODAY()&lt;0,"⚠ 已過建議開始日",IF(C11-TODAY()&lt;=14,"● 兩週內要開始",""))))</f>
        <v/>
      </c>
      <c r="H11" s="24" t="n"/>
      <c r="I11" s="22" t="inlineStr">
        <is>
          <t>幾週也算，可能換到更有力的推薦信</t>
        </is>
      </c>
    </row>
    <row r="12" ht="33" customHeight="1" s="38">
      <c r="A12" s="22" t="inlineStr">
        <is>
          <t>暑假 核心</t>
        </is>
      </c>
      <c r="B12" s="22" t="inlineStr">
        <is>
          <t>研究計畫書：讀文獻、確認問題意識</t>
        </is>
      </c>
      <c r="C12" s="23">
        <f>IF($B$2="","",$B$2-120)</f>
        <v/>
      </c>
      <c r="D12" s="23">
        <f>IF($B$2="","",$B$2-90)</f>
        <v/>
      </c>
      <c r="E12" s="22">
        <f>IF($B$2="","",C12-TODAY())</f>
        <v/>
      </c>
      <c r="F12" s="22">
        <f>IF($B$2="","",D12-$B$2)</f>
        <v/>
      </c>
      <c r="G12" s="22">
        <f>IF($B$2="","",IF($H12="完成","✓",IF(C12-TODAY()&lt;0,"⚠ 已過建議開始日",IF(C12-TODAY()&lt;=14,"● 兩週內要開始",""))))</f>
        <v/>
      </c>
      <c r="H12" s="24" t="n"/>
      <c r="I12" s="22" t="inlineStr">
        <is>
          <t>暑假是最關鍵的時間</t>
        </is>
      </c>
    </row>
    <row r="13" ht="33" customHeight="1" s="38">
      <c r="A13" s="22" t="inlineStr">
        <is>
          <t>暑假 核心</t>
        </is>
      </c>
      <c r="B13" s="22" t="inlineStr">
        <is>
          <t>研究計畫書：完成初稿</t>
        </is>
      </c>
      <c r="C13" s="23">
        <f>IF($B$2="","",$B$2-90)</f>
        <v/>
      </c>
      <c r="D13" s="23">
        <f>IF($B$2="","",$B$2-60)</f>
        <v/>
      </c>
      <c r="E13" s="22">
        <f>IF($B$2="","",C13-TODAY())</f>
        <v/>
      </c>
      <c r="F13" s="22">
        <f>IF($B$2="","",D13-$B$2)</f>
        <v/>
      </c>
      <c r="G13" s="22">
        <f>IF($B$2="","",IF($H13="完成","✓",IF(C13-TODAY()&lt;0,"⚠ 已過建議開始日",IF(C13-TODAY()&lt;=14,"● 兩週內要開始",""))))</f>
        <v/>
      </c>
      <c r="H13" s="24" t="n"/>
      <c r="I13" s="22" t="inlineStr">
        <is>
          <t>首要任務，不是幾天寫得完的</t>
        </is>
      </c>
    </row>
    <row r="14" ht="33" customHeight="1" s="38">
      <c r="A14" s="22" t="inlineStr">
        <is>
          <t>暑假 核心</t>
        </is>
      </c>
      <c r="B14" s="22" t="inlineStr">
        <is>
          <t>聯繫目標指導教授（若該科所允許）</t>
        </is>
      </c>
      <c r="C14" s="23">
        <f>IF($B$2="","",$B$2-80)</f>
        <v/>
      </c>
      <c r="D14" s="23">
        <f>IF($B$2="","",$B$2-60)</f>
        <v/>
      </c>
      <c r="E14" s="22">
        <f>IF($B$2="","",C14-TODAY())</f>
        <v/>
      </c>
      <c r="F14" s="22">
        <f>IF($B$2="","",D14-$B$2)</f>
        <v/>
      </c>
      <c r="G14" s="22">
        <f>IF($B$2="","",IF($H14="完成","✓",IF(C14-TODAY()&lt;0,"⚠ 已過建議開始日",IF(C14-TODAY()&lt;=14,"● 兩週內要開始",""))))</f>
        <v/>
      </c>
      <c r="H14" s="24" t="n"/>
      <c r="I14" s="22" t="inlineStr">
        <is>
          <t>附研究計畫書草稿</t>
        </is>
      </c>
    </row>
    <row r="15" ht="33" customHeight="1" s="38">
      <c r="A15" s="22" t="inlineStr">
        <is>
          <t>暑假 核心</t>
        </is>
      </c>
      <c r="B15" s="22" t="inlineStr">
        <is>
          <t>整理成績單、自傳、學術 CV</t>
        </is>
      </c>
      <c r="C15" s="23">
        <f>IF($B$2="","",$B$2-70)</f>
        <v/>
      </c>
      <c r="D15" s="23">
        <f>IF($B$2="","",$B$2-40)</f>
        <v/>
      </c>
      <c r="E15" s="22">
        <f>IF($B$2="","",C15-TODAY())</f>
        <v/>
      </c>
      <c r="F15" s="22">
        <f>IF($B$2="","",D15-$B$2)</f>
        <v/>
      </c>
      <c r="G15" s="22">
        <f>IF($B$2="","",IF($H15="完成","✓",IF(C15-TODAY()&lt;0,"⚠ 已過建議開始日",IF(C15-TODAY()&lt;=14,"● 兩週內要開始",""))))</f>
        <v/>
      </c>
      <c r="H15" s="24" t="n"/>
      <c r="I15" s="22" t="n"/>
    </row>
    <row r="16" ht="33" customHeight="1" s="38">
      <c r="A16" s="22" t="inlineStr">
        <is>
          <t>暑假 核心</t>
        </is>
      </c>
      <c r="B16" s="22" t="inlineStr">
        <is>
          <t>研究計畫書：請人回饋並修改</t>
        </is>
      </c>
      <c r="C16" s="23">
        <f>IF($B$2="","",$B$2-60)</f>
        <v/>
      </c>
      <c r="D16" s="23">
        <f>IF($B$2="","",$B$2-35)</f>
        <v/>
      </c>
      <c r="E16" s="22">
        <f>IF($B$2="","",C16-TODAY())</f>
        <v/>
      </c>
      <c r="F16" s="22">
        <f>IF($B$2="","",D16-$B$2)</f>
        <v/>
      </c>
      <c r="G16" s="22">
        <f>IF($B$2="","",IF($H16="完成","✓",IF(C16-TODAY()&lt;0,"⚠ 已過建議開始日",IF(C16-TODAY()&lt;=14,"● 兩週內要開始",""))))</f>
        <v/>
      </c>
      <c r="H16" s="24" t="n"/>
      <c r="I16" s="22" t="inlineStr">
        <is>
          <t>要留得下修改的時間</t>
        </is>
      </c>
    </row>
    <row r="17" ht="33" customHeight="1" s="38">
      <c r="A17" s="22" t="inlineStr">
        <is>
          <t>大四上 送件</t>
        </is>
      </c>
      <c r="B17" s="22" t="inlineStr">
        <is>
          <t>正式請託推薦信</t>
        </is>
      </c>
      <c r="C17" s="23">
        <f>IF($B$2="","",$B$2-60)</f>
        <v/>
      </c>
      <c r="D17" s="23">
        <f>IF($B$2="","",$B$2-30)</f>
        <v/>
      </c>
      <c r="E17" s="22">
        <f>IF($B$2="","",C17-TODAY())</f>
        <v/>
      </c>
      <c r="F17" s="22">
        <f>IF($B$2="","",D17-$B$2)</f>
        <v/>
      </c>
      <c r="G17" s="22">
        <f>IF($B$2="","",IF($H17="完成","✓",IF(C17-TODAY()&lt;0,"⚠ 已過建議開始日",IF(C17-TODAY()&lt;=14,"● 兩週內要開始",""))))</f>
        <v/>
      </c>
      <c r="H17" s="24" t="n"/>
      <c r="I17" s="22" t="inlineStr">
        <is>
          <t>至少三週，但越早越好</t>
        </is>
      </c>
    </row>
    <row r="18" ht="33" customHeight="1" s="38">
      <c r="A18" s="22" t="inlineStr">
        <is>
          <t>大四上 送件</t>
        </is>
      </c>
      <c r="B18" s="22" t="inlineStr">
        <is>
          <t>逐校核對格式要求</t>
        </is>
      </c>
      <c r="C18" s="23">
        <f>IF($B$2="","",$B$2-21)</f>
        <v/>
      </c>
      <c r="D18" s="23">
        <f>IF($B$2="","",$B$2-7)</f>
        <v/>
      </c>
      <c r="E18" s="22">
        <f>IF($B$2="","",C18-TODAY())</f>
        <v/>
      </c>
      <c r="F18" s="22">
        <f>IF($B$2="","",D18-$B$2)</f>
        <v/>
      </c>
      <c r="G18" s="22">
        <f>IF($B$2="","",IF($H18="完成","✓",IF(C18-TODAY()&lt;0,"⚠ 已過建議開始日",IF(C18-TODAY()&lt;=14,"● 兩週內要開始",""))))</f>
        <v/>
      </c>
      <c r="H18" s="24" t="n"/>
      <c r="I18" s="22" t="inlineStr">
        <is>
          <t>每間格式都不一樣</t>
        </is>
      </c>
    </row>
    <row r="19" ht="33" customHeight="1" s="38">
      <c r="A19" s="22" t="inlineStr">
        <is>
          <t>大四上 送件</t>
        </is>
      </c>
      <c r="B19" s="22" t="inlineStr">
        <is>
          <t>送件</t>
        </is>
      </c>
      <c r="C19" s="23">
        <f>IF($B$2="","",$B$2-7)</f>
        <v/>
      </c>
      <c r="D19" s="23">
        <f>IF($B$2="","",$B$2+0)</f>
        <v/>
      </c>
      <c r="E19" s="22">
        <f>IF($B$2="","",C19-TODAY())</f>
        <v/>
      </c>
      <c r="F19" s="22">
        <f>IF($B$2="","",D19-$B$2)</f>
        <v/>
      </c>
      <c r="G19" s="22">
        <f>IF($B$2="","",IF($H19="完成","✓",IF(C19-TODAY()&lt;0,"⚠ 已過建議開始日",IF(C19-TODAY()&lt;=14,"● 兩週內要開始",""))))</f>
        <v/>
      </c>
      <c r="H19" s="24" t="n"/>
      <c r="I19" s="22" t="inlineStr">
        <is>
          <t>第二間之後的截止日另外記</t>
        </is>
      </c>
    </row>
    <row r="20" ht="33" customHeight="1" s="38">
      <c r="A20" s="22" t="inlineStr">
        <is>
          <t>大四上 口試</t>
        </is>
      </c>
      <c r="B20" s="22" t="inlineStr">
        <is>
          <t>等書審結果與口試通知</t>
        </is>
      </c>
      <c r="C20" s="23">
        <f>IF($B$2="","",$B$2+0)</f>
        <v/>
      </c>
      <c r="D20" s="23">
        <f>IF($B$2="","",$B$2+21)</f>
        <v/>
      </c>
      <c r="E20" s="22">
        <f>IF($B$2="","",C20-TODAY())</f>
        <v/>
      </c>
      <c r="F20" s="22">
        <f>IF($B$2="","",D20-$B$2)</f>
        <v/>
      </c>
      <c r="G20" s="22">
        <f>IF($B$2="","",IF($H20="完成","✓",IF(C20-TODAY()&lt;0,"⚠ 已過建議開始日",IF(C20-TODAY()&lt;=14,"● 兩週內要開始",""))))</f>
        <v/>
      </c>
      <c r="H20" s="24" t="n"/>
      <c r="I20" s="22" t="n"/>
    </row>
    <row r="21" ht="33" customHeight="1" s="38">
      <c r="A21" s="22" t="inlineStr">
        <is>
          <t>大四上 口試</t>
        </is>
      </c>
      <c r="B21" s="22" t="inlineStr">
        <is>
          <t>口試準備：口頭說明研究計畫、回應質疑</t>
        </is>
      </c>
      <c r="C21" s="23">
        <f>IF($B$2="","",$B$2+21)</f>
        <v/>
      </c>
      <c r="D21" s="23">
        <f>IF($B$2="","",$B$2+42)</f>
        <v/>
      </c>
      <c r="E21" s="22">
        <f>IF($B$2="","",C21-TODAY())</f>
        <v/>
      </c>
      <c r="F21" s="22">
        <f>IF($B$2="","",D21-$B$2)</f>
        <v/>
      </c>
      <c r="G21" s="22">
        <f>IF($B$2="","",IF($H21="完成","✓",IF(C21-TODAY()&lt;0,"⚠ 已過建議開始日",IF(C21-TODAY()&lt;=14,"● 兩週內要開始",""))))</f>
        <v/>
      </c>
      <c r="H21" s="24" t="n"/>
      <c r="I21" s="22" t="inlineStr">
        <is>
          <t>通知到口試通常只有 2-4 週，這段要先淨空</t>
        </is>
      </c>
    </row>
    <row r="22" ht="33" customHeight="1" s="38">
      <c r="A22" s="22" t="inlineStr">
        <is>
          <t>大四上 口試</t>
        </is>
      </c>
      <c r="B22" s="22" t="inlineStr">
        <is>
          <t>口試</t>
        </is>
      </c>
      <c r="C22" s="23">
        <f>IF($B$2="","",$B$2+35)</f>
        <v/>
      </c>
      <c r="D22" s="23">
        <f>IF($B$2="","",$B$2+50)</f>
        <v/>
      </c>
      <c r="E22" s="22">
        <f>IF($B$2="","",C22-TODAY())</f>
        <v/>
      </c>
      <c r="F22" s="22">
        <f>IF($B$2="","",D22-$B$2)</f>
        <v/>
      </c>
      <c r="G22" s="22">
        <f>IF($B$2="","",IF($H22="完成","✓",IF(C22-TODAY()&lt;0,"⚠ 已過建議開始日",IF(C22-TODAY()&lt;=14,"● 兩週內要開始",""))))</f>
        <v/>
      </c>
      <c r="H22" s="24" t="n"/>
      <c r="I22" s="22" t="n"/>
    </row>
    <row r="23" ht="33" customHeight="1" s="38">
      <c r="A23" s="22" t="inlineStr">
        <is>
          <t>大四上 結果</t>
        </is>
      </c>
      <c r="B23" s="22" t="inlineStr">
        <is>
          <t>錄取結果</t>
        </is>
      </c>
      <c r="C23" s="23">
        <f>IF($B$2="","",$B$2+45)</f>
        <v/>
      </c>
      <c r="D23" s="23">
        <f>IF($B$2="","",$B$2+75)</f>
        <v/>
      </c>
      <c r="E23" s="22">
        <f>IF($B$2="","",C23-TODAY())</f>
        <v/>
      </c>
      <c r="F23" s="22">
        <f>IF($B$2="","",D23-$B$2)</f>
        <v/>
      </c>
      <c r="G23" s="22">
        <f>IF($B$2="","",IF($H23="完成","✓",IF(C23-TODAY()&lt;0,"⚠ 已過建議開始日",IF(C23-TODAY()&lt;=14,"● 兩週內要開始",""))))</f>
        <v/>
      </c>
      <c r="H23" s="24" t="n"/>
      <c r="I23" s="22" t="inlineStr">
        <is>
          <t>沒上還有時間準備考試</t>
        </is>
      </c>
    </row>
    <row r="24" ht="40" customHeight="1" s="38">
      <c r="A24" s="10" t="n"/>
      <c r="B24" s="10" t="n"/>
      <c r="C24" s="43" t="n"/>
      <c r="D24" s="43" t="n"/>
      <c r="E24" s="9" t="n"/>
      <c r="F24" s="9" t="n"/>
      <c r="G24" s="10" t="n"/>
      <c r="H24" s="10" t="n"/>
      <c r="I24" s="10" t="n"/>
    </row>
    <row r="25" ht="32" customHeight="1" s="38">
      <c r="A25" s="41" t="inlineStr">
        <is>
          <t>距今天為正＝還有幾天才要開始；為負＝已經該開始了。距送件為負＝送件前，正＝送件後。</t>
        </is>
      </c>
    </row>
    <row r="26" ht="32" customHeight="1" s="38">
      <c r="A26" s="42" t="inlineStr">
        <is>
          <t>狀態欄請填：未開始／進行中／完成。填「完成」後提醒欄會自動熄掉。</t>
        </is>
      </c>
    </row>
    <row r="27" ht="40" customHeight="1" s="38">
      <c r="C27" s="44" t="n"/>
      <c r="D27" s="44" t="n"/>
      <c r="E27" s="2" t="n"/>
      <c r="F27" s="2" t="n"/>
    </row>
    <row r="28" ht="24" customHeight="1" s="38">
      <c r="A28" s="25" t="inlineStr">
        <is>
          <t>如果距今天大量出現負數怎麼辦？</t>
        </is>
      </c>
      <c r="C28" s="44" t="n"/>
      <c r="D28" s="44" t="n"/>
      <c r="E28" s="2" t="n"/>
      <c r="F28" s="2" t="n"/>
    </row>
    <row r="29" ht="32" customHeight="1" s="38">
      <c r="A29" s="40" t="inlineStr">
        <is>
          <t>時間會很趕，但不是完全沒機會。優先順序這樣排：</t>
        </is>
      </c>
    </row>
    <row r="30" ht="32" customHeight="1" s="38">
      <c r="A30" s="40" t="inlineStr">
        <is>
          <t>1 研究計畫書初稿（沒有這個其他都免談）</t>
        </is>
      </c>
    </row>
    <row r="31" ht="32" customHeight="1" s="38">
      <c r="A31" s="40" t="inlineStr">
        <is>
          <t>2 推薦信（先確認教授願不願意，再談時間）</t>
        </is>
      </c>
    </row>
    <row r="32" ht="32" customHeight="1" s="38">
      <c r="A32" s="40" t="inlineStr">
        <is>
          <t>3 把申請名單縮到 2-3 所，難度分層</t>
        </is>
      </c>
    </row>
    <row r="33" ht="32" customHeight="1" s="38">
      <c r="A33" s="40" t="inlineStr">
        <is>
          <t>4 成績單與 CV 這類文書可以壓到最後兩週</t>
        </is>
      </c>
    </row>
    <row r="34" ht="32" customHeight="1" s="38">
      <c r="A34" s="40" t="inlineStr">
        <is>
          <t>先跳過：聯繫指導教授、找研究室或實習</t>
        </is>
      </c>
    </row>
    <row r="35" ht="32" customFormat="1" customHeight="1" s="36">
      <c r="A35" s="26" t="n"/>
    </row>
    <row r="36" ht="14" customHeight="1" s="38"/>
    <row r="37" ht="28" customHeight="1" s="38">
      <c r="A37" s="27" t="inlineStr">
        <is>
          <t># 搭配文章：研究所推甄時程規劃：大三下到大四上完整準備　https://tbd-edu.com/pages/resources/graduate-timeline.html</t>
        </is>
      </c>
    </row>
    <row r="38" ht="28" customHeight="1" s="38">
      <c r="A38" s="27" t="inlineStr">
        <is>
          <t># TBD Studio ｜ https://tbd-edu.com/</t>
        </is>
      </c>
    </row>
    <row r="39" ht="13" customHeight="1" s="38"/>
    <row r="40" ht="13" customHeight="1" s="38"/>
    <row r="41" ht="13" customHeight="1" s="38"/>
    <row r="48" ht="13" customHeight="1" s="38"/>
  </sheetData>
  <mergeCells count="8">
    <mergeCell ref="A29:I29"/>
    <mergeCell ref="A25:I25"/>
    <mergeCell ref="A33:I33"/>
    <mergeCell ref="A32:I32"/>
    <mergeCell ref="A31:I31"/>
    <mergeCell ref="A34:I34"/>
    <mergeCell ref="A26:I26"/>
    <mergeCell ref="A30:I30"/>
  </mergeCells>
  <dataValidations count="3">
    <dataValidation sqref="C6:D23" showDropDown="0" showInputMessage="0" showErrorMessage="0" allowBlank="0" type="custom">
      <formula1>OR(NOT(ISERROR(DATEVALUE(C6))), AND(ISNUMBER(C6), LEFT(CELL("format", C6))="D"))</formula1>
    </dataValidation>
    <dataValidation sqref="E6:F23" showDropDown="0" showInputMessage="0" showErrorMessage="0" allowBlank="0" type="custom">
      <formula1>AND(ISNUMBER(E6),(NOT(OR(NOT(ISERROR(DATEVALUE(E6))), AND(ISNUMBER(E6), LEFT(CELL("format", E6))="D")))))</formula1>
    </dataValidation>
    <dataValidation sqref="H6:H23" showDropDown="0" showInputMessage="0" showErrorMessage="1" allowBlank="0" errorTitle="狀態" error="請從下拉選單選：未開始／進行中／完成" type="list">
      <formula1>"未開始,進行中,完成"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2026-09-21T03:33:08Z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