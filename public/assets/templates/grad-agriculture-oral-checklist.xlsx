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Arial"/>
      <family val="2"/>
      <b val="1"/>
      <color rgb="FFA54E3D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color rgb="FF6D809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8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left"/>
    </xf>
    <xf numFmtId="0" fontId="4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2" applyAlignment="1" pivotButton="0" quotePrefix="0" xfId="0">
      <alignment vertical="center"/>
    </xf>
    <xf numFmtId="0" fontId="7" fillId="4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14" fontId="7" fillId="4" borderId="1" applyAlignment="1" pivotButton="0" quotePrefix="0" xfId="0">
      <alignment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zoomScale="75" workbookViewId="0">
      <pane ySplit="2" topLeftCell="A92" activePane="bottomLeft" state="frozen"/>
      <selection pane="bottomLeft" activeCell="A95" sqref="A95:XFD99"/>
    </sheetView>
  </sheetViews>
  <sheetFormatPr baseColWidth="10" defaultColWidth="9" defaultRowHeight="14"/>
  <cols>
    <col width="62" customWidth="1" style="10" min="1" max="1"/>
    <col width="96.19921875" customWidth="1" style="10" min="2" max="2"/>
    <col width="67.796875" customWidth="1" style="10" min="3" max="3"/>
    <col width="14" customWidth="1" style="10" min="4" max="4"/>
    <col width="12" customWidth="1" style="10" min="5" max="6"/>
  </cols>
  <sheetData>
    <row r="1" ht="30" customHeight="1" s="10">
      <c r="A1" s="2" t="inlineStr">
        <is>
          <t>農生與環境｜口試自我檢核表：技術答辯　v1</t>
        </is>
      </c>
    </row>
    <row r="2" ht="28" customHeight="1" s="10">
      <c r="A2" s="15" t="inlineStr">
        <is>
          <t>先讀這頁，大約7分鐘。這份工具有五個分頁，主體是題庫與打勾。</t>
        </is>
      </c>
    </row>
    <row r="3" ht="40" customHeight="1" s="10"/>
    <row r="4" ht="24" customHeight="1" s="10">
      <c r="A4" s="1" t="inlineStr">
        <is>
          <t>這份表是什麼、不是什麼</t>
        </is>
      </c>
    </row>
    <row r="5" ht="26" customHeight="1" s="10">
      <c r="A5" s="3" t="inlineStr">
        <is>
          <t>它是</t>
        </is>
      </c>
      <c r="B5" s="3" t="inlineStr">
        <is>
          <t>它不是</t>
        </is>
      </c>
    </row>
    <row r="6" ht="70" customHeight="1" s="10">
      <c r="A6" s="4" t="inlineStr">
        <is>
          <t>一面鏡子。照出你對每一項核心技術、實驗設計與可行性想到哪了，哪些題目還答不出來。</t>
        </is>
      </c>
      <c r="B6" s="4" t="inlineStr">
        <is>
          <t>方法段的朗讀稿。抄來的方法答得出步驟，答不出「為什麼是這個溫度」「這一步失敗會長什麼樣」。</t>
        </is>
      </c>
    </row>
    <row r="7" ht="32" customHeight="1" s="10">
      <c r="A7" s="4" t="inlineStr">
        <is>
          <t>一次二十分鐘就做得完的自我盤點。</t>
        </is>
      </c>
      <c r="B7" s="4" t="inlineStr">
        <is>
          <t>口才訓練。這裡不教你怎麼講，只告訴你哪一題還沒想通。</t>
        </is>
      </c>
    </row>
    <row r="8" ht="48" customHeight="1" s="10">
      <c r="A8" s="4" t="inlineStr">
        <is>
          <t>可以重複用的。每模擬一次口試就回來打一次。</t>
        </is>
      </c>
      <c r="B8" s="4" t="inlineStr">
        <is>
          <t>一次性的清單。全部打完勾不是終點，是可以上場的起點。</t>
        </is>
      </c>
    </row>
    <row r="9" ht="40" customHeight="1" s="10"/>
    <row r="10" ht="24" customHeight="1" s="10">
      <c r="A10" s="1" t="inlineStr">
        <is>
          <t>委員在檢查什麼</t>
        </is>
      </c>
    </row>
    <row r="11" ht="48" customHeight="1" s="10">
      <c r="A11" s="16" t="inlineStr">
        <is>
          <t>這個類群的口試很少停留在理論層次。研究要靠儀器、耗材、生物週期與樣區才跑得起來，所以委員關心的是：你的實驗設計能不能在預計年限內落地。他們的方式是從技術細節往下追問。</t>
        </is>
      </c>
    </row>
    <row r="12" ht="40" customHeight="1" s="10"/>
    <row r="13" ht="26" customHeight="1" s="10">
      <c r="A13" s="3" t="inlineStr">
        <is>
          <t>透過追問同時在檢查的五件事</t>
        </is>
      </c>
      <c r="B13" s="3" t="inlineStr">
        <is>
          <t>怎麼聽出來</t>
        </is>
      </c>
    </row>
    <row r="14" ht="32" customHeight="1" s="10">
      <c r="A14" s="4" t="inlineStr">
        <is>
          <t>基礎學科概念紮不紮實</t>
        </is>
      </c>
      <c r="B14" s="4" t="inlineStr">
        <is>
          <t>追到原理層次就知道。</t>
        </is>
      </c>
    </row>
    <row r="15" ht="32" customHeight="1" s="10">
      <c r="A15" s="4" t="inlineStr">
        <is>
          <t>對方法的理解是原理層次還是操作手冊層次</t>
        </is>
      </c>
      <c r="B15" s="4" t="inlineStr">
        <is>
          <t>答得出步驟，答不答得出「為什麼是這個條件」。</t>
        </is>
      </c>
    </row>
    <row r="16" ht="32" customHeight="1" s="10">
      <c r="A16" s="4" t="inlineStr">
        <is>
          <t>研究思考的成熟度</t>
        </is>
      </c>
      <c r="B16" s="4" t="inlineStr">
        <is>
          <t>結果和假設相反時，你會怎麼解釋。</t>
        </is>
      </c>
    </row>
    <row r="17" ht="32" customHeight="1" s="10">
      <c r="A17" s="4" t="inlineStr">
        <is>
          <t>風險管理的意識</t>
        </is>
      </c>
      <c r="B17" s="4" t="inlineStr">
        <is>
          <t>儀器排不排得到、樣區進不進得去，想過了沒。</t>
        </is>
      </c>
    </row>
    <row r="18" ht="32" customHeight="1" s="10">
      <c r="A18" s="4" t="inlineStr">
        <is>
          <t>被指出問題時，能不能修正研究設計</t>
        </is>
      </c>
      <c r="B18" s="4" t="inlineStr">
        <is>
          <t>防守或投降都不是委員要看的。</t>
        </is>
      </c>
    </row>
    <row r="19" ht="42" customHeight="1" s="10">
      <c r="A19" s="9" t="inlineStr">
        <is>
          <t>委員多半能從方法細節聽出你是真的做過，還是只抄了方法。</t>
        </is>
      </c>
    </row>
    <row r="20" ht="40" customHeight="1" s="10"/>
    <row r="21" ht="24" customHeight="1" s="10">
      <c r="A21" s="1" t="inlineStr">
        <is>
          <t>一句話說清楚研究問題與貢獻</t>
        </is>
      </c>
    </row>
    <row r="22" ht="55" customHeight="1" s="10">
      <c r="A22" s="16" t="inlineStr">
        <is>
          <t>幾乎每一場都會出現的開場題。答不好的樣態很固定——講成研究背景，「近年來由於氣候變遷影響，作物產量……」講了三十秒還沒進到自己要做什麼。</t>
        </is>
      </c>
    </row>
    <row r="23" ht="40" customHeight="1" s="10"/>
    <row r="24" ht="26" customHeight="1" s="10">
      <c r="A24" s="3" t="inlineStr">
        <is>
          <t>結構</t>
        </is>
      </c>
      <c r="B24" s="3" t="inlineStr">
        <is>
          <t>例句</t>
        </is>
      </c>
    </row>
    <row r="25" ht="48" customHeight="1" s="10">
      <c r="A25" s="4" t="inlineStr">
        <is>
          <t>對象與範圍 ＋ 要回答的問題 ＋ 回答之後多知道什麼</t>
        </is>
      </c>
      <c r="B25" s="4" t="inlineStr">
        <is>
          <t>我要檢驗＿＿品系在＿＿逆境下的＿＿表現是否與既有推測一致，若成立，可以把現有的耐逆篩選指標往前推到苗期。</t>
        </is>
      </c>
    </row>
    <row r="26" ht="42" customHeight="1" s="10">
      <c r="A26" s="9" t="inlineStr">
        <is>
          <t>練習方式：先寫成三句話，再刪到一句。刪不掉通常代表題目還沒收斂完。</t>
        </is>
      </c>
    </row>
    <row r="27" ht="40" customHeight="1" s="10"/>
    <row r="28" ht="24" customHeight="1" s="10">
      <c r="A28" s="1" t="inlineStr">
        <is>
          <t>五步答題框架</t>
        </is>
      </c>
    </row>
    <row r="29" ht="26" customHeight="1" s="10">
      <c r="A29" s="3" t="inlineStr">
        <is>
          <t>步驟</t>
        </is>
      </c>
      <c r="B29" s="3" t="inlineStr">
        <is>
          <t>作用</t>
        </is>
      </c>
    </row>
    <row r="30" ht="32" customHeight="1" s="10">
      <c r="A30" s="4" t="inlineStr">
        <is>
          <t>1 確認問題</t>
        </is>
      </c>
      <c r="B30" s="4" t="inlineStr">
        <is>
          <t>必要時複述一次，確保你答的是他問的。也替自己爭取幾秒思考。</t>
        </is>
      </c>
    </row>
    <row r="31" ht="32" customHeight="1" s="10">
      <c r="A31" s="4" t="inlineStr">
        <is>
          <t>2 說明原始設計</t>
        </is>
      </c>
      <c r="B31" s="4" t="inlineStr">
        <is>
          <t>你本來為什麼這樣設計。這一步證明你有想過，不是隨便排的。</t>
        </is>
      </c>
    </row>
    <row r="32" ht="32" customHeight="1" s="10">
      <c r="A32" s="4" t="inlineStr">
        <is>
          <t>3 解釋技術依據</t>
        </is>
      </c>
      <c r="B32" s="4" t="inlineStr">
        <is>
          <t>支撐這個設計的原理或文獻。</t>
        </is>
      </c>
    </row>
    <row r="33" ht="32" customHeight="1" s="10">
      <c r="A33" s="4" t="inlineStr">
        <is>
          <t>4 承認限制</t>
        </is>
      </c>
      <c r="B33" s="4" t="inlineStr">
        <is>
          <t>這個設計確實不能排除什麼。誠實在這裡是加分項。</t>
        </is>
      </c>
    </row>
    <row r="34" ht="32" customHeight="1" s="10">
      <c r="A34" s="4" t="inlineStr">
        <is>
          <t>5 提出替代方法</t>
        </is>
      </c>
      <c r="B34" s="4" t="inlineStr">
        <is>
          <t>如果重新設計，你會怎麼補，代價是什麼。</t>
        </is>
      </c>
    </row>
    <row r="35" ht="48" customHeight="1" s="10">
      <c r="A35" s="9" t="inlineStr">
        <is>
          <t>框架的價值在第 4、5 步。多數人被質疑時的直覺是防守（解釋為什麼自己沒錯）或投降（道歉說會改進），兩者都錯過了委員真正想看的東西——你能不能理性處理批評並提出修正。</t>
        </is>
      </c>
    </row>
    <row r="36" ht="40" customHeight="1" s="10"/>
    <row r="37" ht="24" customHeight="1" s="10">
      <c r="A37" s="1" t="inlineStr">
        <is>
          <t>被指出漏洞時：承認＋具體修正</t>
        </is>
      </c>
    </row>
    <row r="38" ht="48" customHeight="1" s="10">
      <c r="A38" s="16" t="inlineStr">
        <is>
          <t>三種最常見的情況各準備一組句型，句型在「題庫與素材」分頁第四節。三組的共同結構都是承認＋具體修正：沒有具體修正的承認，聽起來像放棄；沒有承認的修正，聽起來像狡辯。</t>
        </is>
      </c>
    </row>
    <row r="39" ht="40" customHeight="1" s="10"/>
    <row r="40" ht="24" customHeight="1" s="10">
      <c r="A40" s="1" t="inlineStr">
        <is>
          <t>什麼時候用，可以用幾次</t>
        </is>
      </c>
    </row>
    <row r="41" ht="41" customHeight="1" s="10">
      <c r="A41" s="16" t="inlineStr">
        <is>
          <t>送件之後就可以開始打第一次，那時候題庫會有一半是空的，那正是它的用途。之後每做一次模擬追問就回來打一次，上場前一天再走最後一遍。</t>
        </is>
      </c>
    </row>
    <row r="42" ht="40" customHeight="1" s="10"/>
    <row r="43" ht="24" customHeight="1" s="10">
      <c r="A43" s="1" t="inlineStr">
        <is>
          <t>五個分頁的分工</t>
        </is>
      </c>
    </row>
    <row r="44" ht="26" customHeight="1" s="10">
      <c r="A44" s="3" t="inlineStr">
        <is>
          <t>分頁</t>
        </is>
      </c>
      <c r="B44" s="3" t="inlineStr">
        <is>
          <t>做什麼</t>
        </is>
      </c>
    </row>
    <row r="45" ht="49" customHeight="1" s="10">
      <c r="A45" s="4" t="inlineStr">
        <is>
          <t>先讀這裡</t>
        </is>
      </c>
      <c r="B45" s="4" t="inlineStr">
        <is>
          <t>你正在讀的這頁。委員在檢查什麼、五步框架、怎麼打勾、卡關怎麼辦。</t>
        </is>
      </c>
    </row>
    <row r="46" ht="49" customHeight="1" s="10">
      <c r="A46" s="4" t="inlineStr">
        <is>
          <t>題庫與素材</t>
        </is>
      </c>
      <c r="B46" s="4" t="inlineStr">
        <is>
          <t>要動手的地方。十二題各寫答案要點並打兩個勾，再填一句話練習、核心技術準備表、三種漏洞句型。</t>
        </is>
      </c>
    </row>
    <row r="47" ht="49" customHeight="1" s="10">
      <c r="A47" s="4" t="inlineStr">
        <is>
          <t>檢核表</t>
        </is>
      </c>
      <c r="B47" s="4" t="inlineStr">
        <is>
          <t>4 區共 24 項，逐項打勾。每一項旁邊都寫好了沒打勾的話下一步做什麼。</t>
        </is>
      </c>
    </row>
    <row r="48" ht="49" customHeight="1" s="10">
      <c r="A48" s="4" t="inlineStr">
        <is>
          <t>我到哪了</t>
        </is>
      </c>
      <c r="B48" s="4" t="inlineStr">
        <is>
          <t>打完之後看這頁。6 區完成度與還沒打勾的數量。</t>
        </is>
      </c>
    </row>
    <row r="49" ht="49" customHeight="1" s="10">
      <c r="A49" s="4" t="inlineStr">
        <is>
          <t>模擬追問紀錄</t>
        </is>
      </c>
      <c r="B49" s="4" t="inlineStr">
        <is>
          <t>每找人模擬一次就記一列。被問倒的地方就是接下來要補的，不用寫得漂亮。</t>
        </is>
      </c>
    </row>
    <row r="50" ht="40" customHeight="1" s="10"/>
    <row r="51" ht="24" customHeight="1" s="10">
      <c r="A51" s="1" t="inlineStr">
        <is>
          <t>四個步驟</t>
        </is>
      </c>
    </row>
    <row r="52" ht="26" customHeight="1" s="10">
      <c r="A52" s="3" t="inlineStr">
        <is>
          <t>步驟</t>
        </is>
      </c>
      <c r="B52" s="3" t="inlineStr">
        <is>
          <t>做什麼</t>
        </is>
      </c>
    </row>
    <row r="53" ht="40" customHeight="1" s="10">
      <c r="A53" s="4" t="inlineStr">
        <is>
          <t>第 1 步</t>
        </is>
      </c>
      <c r="B53" s="4" t="inlineStr">
        <is>
          <t>切到「題庫與素材」分頁，十二題先寫答案要點。寫得出來就勾「寫出答案」。</t>
        </is>
      </c>
    </row>
    <row r="54" ht="40" customHeight="1" s="10">
      <c r="A54" s="4" t="inlineStr">
        <is>
          <t>第 2 步</t>
        </is>
      </c>
      <c r="B54" s="4" t="inlineStr">
        <is>
          <t>填一句話的三句→兩句→一句、每一項核心技術的四件事、三種漏洞句型。</t>
        </is>
      </c>
    </row>
    <row r="55" ht="40" customHeight="1" s="10">
      <c r="A55" s="4" t="inlineStr">
        <is>
          <t>第 3 步</t>
        </is>
      </c>
      <c r="B55" s="4" t="inlineStr">
        <is>
          <t>找人針對四類方向連問幾輪，講得出來的題目勾「練過口說」。再切到「檢核表」4 區打勾。</t>
        </is>
      </c>
    </row>
    <row r="56" ht="40" customHeight="1" s="10">
      <c r="A56" s="4" t="inlineStr">
        <is>
          <t>第 4 步</t>
        </is>
      </c>
      <c r="B56" s="4" t="inlineStr">
        <is>
          <t>切到「我到哪了」看哪一區最短，回頭補沒打勾的那幾項。</t>
        </is>
      </c>
    </row>
    <row r="57" ht="40" customHeight="1" s="10"/>
    <row r="58" ht="24" customHeight="1" s="10">
      <c r="A58" s="1" t="inlineStr">
        <is>
          <t>六個區塊各在檢查什麼</t>
        </is>
      </c>
    </row>
    <row r="59" ht="26" customHeight="1" s="10">
      <c r="A59" s="3" t="inlineStr">
        <is>
          <t>區塊</t>
        </is>
      </c>
      <c r="B59" s="3" t="inlineStr">
        <is>
          <t>幾項</t>
        </is>
      </c>
      <c r="C59" s="3" t="inlineStr">
        <is>
          <t>在檢查什麼</t>
        </is>
      </c>
    </row>
    <row r="60" ht="32" customHeight="1" s="10">
      <c r="A60" s="4" t="inlineStr">
        <is>
          <t>題庫：寫出答案</t>
        </is>
      </c>
      <c r="B60" s="4" t="inlineStr">
        <is>
          <t>12</t>
        </is>
      </c>
      <c r="C60" s="4" t="inlineStr">
        <is>
          <t>四類追問十二題，寫得出答案要點了沒。</t>
        </is>
      </c>
    </row>
    <row r="61" ht="48" customHeight="1" s="10">
      <c r="A61" s="4" t="inlineStr">
        <is>
          <t>題庫：練過口說</t>
        </is>
      </c>
      <c r="B61" s="4" t="inlineStr">
        <is>
          <t>12</t>
        </is>
      </c>
      <c r="C61" s="4" t="inlineStr">
        <is>
          <t>同樣十二題，被連續追問時講得出來了沒。</t>
        </is>
      </c>
    </row>
    <row r="62" ht="48" customHeight="1" s="10">
      <c r="A62" s="4" t="inlineStr">
        <is>
          <t>開場與核心技術</t>
        </is>
      </c>
      <c r="B62" s="4" t="inlineStr">
        <is>
          <t>6</t>
        </is>
      </c>
      <c r="C62" s="4" t="inlineStr">
        <is>
          <t>一句話收斂了沒、每項技術的原理、限制、替代方案答不答得出。</t>
        </is>
      </c>
    </row>
    <row r="63" ht="48" customHeight="1" s="10">
      <c r="A63" s="4" t="inlineStr">
        <is>
          <t>被指出漏洞或不會回答時</t>
        </is>
      </c>
      <c r="B63" s="4" t="inlineStr">
        <is>
          <t>5</t>
        </is>
      </c>
      <c r="C63" s="4" t="inlineStr">
        <is>
          <t>三種漏洞句型與不熟悉的技術，練過了沒。</t>
        </is>
      </c>
    </row>
    <row r="64" ht="48" customHeight="1" s="10">
      <c r="A64" s="4" t="inlineStr">
        <is>
          <t>上場前檢核</t>
        </is>
      </c>
      <c r="B64" s="4" t="inlineStr">
        <is>
          <t>7</t>
        </is>
      </c>
      <c r="C64" s="4" t="inlineStr">
        <is>
          <t>最後那道閘門。這七項沒到就還不能上場。</t>
        </is>
      </c>
    </row>
    <row r="65" ht="48" customHeight="1" s="10">
      <c r="A65" s="4" t="inlineStr">
        <is>
          <t>常見失分點</t>
        </is>
      </c>
      <c r="B65" s="4" t="inlineStr">
        <is>
          <t>6</t>
        </is>
      </c>
      <c r="C65" s="4" t="inlineStr">
        <is>
          <t>有沒有踩到最常見的六個失分回答。</t>
        </is>
      </c>
    </row>
    <row r="66" ht="40" customHeight="1" s="10"/>
    <row r="67" ht="24" customHeight="1" s="10">
      <c r="A67" s="1" t="inlineStr">
        <is>
          <t>什麼情況才算 ✓</t>
        </is>
      </c>
    </row>
    <row r="68" ht="32" customHeight="1" s="10">
      <c r="A68" s="16" t="inlineStr">
        <is>
          <t>打勾之前先問自己一句：如果委員現在追問，我能不能不用查資料，直接說出理由、限制與下一步。講得出來才算 ✓，覺得「應該會吧」不算。</t>
        </is>
      </c>
    </row>
    <row r="69" ht="32" customHeight="1" s="10">
      <c r="A69" s="16" t="inlineStr">
        <is>
          <t>這張表只有你自己會看。寬鬆給分唯一的效果，是讓你在口試現場才發現缺口。留白不是失敗，留白就是你接下來的工作清單。</t>
        </is>
      </c>
    </row>
    <row r="70" ht="32" customHeight="1" s="10">
      <c r="A70" s="17" t="inlineStr">
        <is>
          <t>「常見失分點」那一區的語意是相反的：✓ 代表「我確認自己不會這樣答」。表頭上有標。</t>
        </is>
      </c>
    </row>
    <row r="71" ht="40" customHeight="1" s="10"/>
    <row r="72" ht="24" customHeight="1" s="10">
      <c r="A72" s="1" t="inlineStr">
        <is>
          <t>結果怎麼看</t>
        </is>
      </c>
    </row>
    <row r="73" ht="26" customHeight="1" s="10">
      <c r="A73" s="3" t="inlineStr">
        <is>
          <t>你看到的</t>
        </is>
      </c>
      <c r="B73" s="3" t="inlineStr">
        <is>
          <t>代表什麼</t>
        </is>
      </c>
      <c r="C73" s="3" t="inlineStr">
        <is>
          <t>接下來</t>
        </is>
      </c>
    </row>
    <row r="74" ht="48" customHeight="1" s="10">
      <c r="A74" s="4" t="inlineStr">
        <is>
          <t>幾乎全空</t>
        </is>
      </c>
      <c r="B74" s="4" t="inlineStr">
        <is>
          <t>這不是壞消息，這是你現在的起點。</t>
        </is>
      </c>
      <c r="C74" s="4" t="inlineStr">
        <is>
          <t>從「上場前檢核」那七項往回推，一項對應一件要做的事。</t>
        </is>
      </c>
    </row>
    <row r="75" ht="48" customHeight="1" s="10">
      <c r="A75" s="4" t="inlineStr">
        <is>
          <t>寫出答案滿了，練過口說很空</t>
        </is>
      </c>
      <c r="B75" s="4" t="inlineStr">
        <is>
          <t>你想通了，但還沒被連續追問過。</t>
        </is>
      </c>
      <c r="C75" s="4" t="inlineStr">
        <is>
          <t>找學長姐、同學或顧問扮演委員，四類方向各連問幾輪。</t>
        </is>
      </c>
    </row>
    <row r="76" ht="48" customHeight="1" s="10">
      <c r="A76" s="4" t="inlineStr">
        <is>
          <t>可行性那三題空著</t>
        </is>
      </c>
      <c r="B76" s="4" t="inlineStr">
        <is>
          <t>這個類群特有、最容易被忽略的一類。</t>
        </is>
      </c>
      <c r="C76" s="4" t="inlineStr">
        <is>
          <t>儀器排不排得到、耗材誰支應、樣區哪幾個月進得去，去查，不要猜。</t>
        </is>
      </c>
    </row>
    <row r="77" ht="48" customHeight="1" s="10">
      <c r="A77" s="4" t="inlineStr">
        <is>
          <t>核心技術的限制欄答不出</t>
        </is>
      </c>
      <c r="B77" s="4" t="inlineStr">
        <is>
          <t>只答得出優點的人，委員聽得出沒真的用過。</t>
        </is>
      </c>
      <c r="C77" s="4" t="inlineStr">
        <is>
          <t>回題庫與素材第三節，每項技術的「缺點與盲點」一定要填。</t>
        </is>
      </c>
    </row>
    <row r="78" ht="32" customHeight="1" s="10">
      <c r="A78" s="4" t="inlineStr">
        <is>
          <t>上場前檢核沒滿</t>
        </is>
      </c>
      <c r="B78" s="4" t="inlineStr">
        <is>
          <t>還不能上場。</t>
        </is>
      </c>
      <c r="C78" s="4" t="inlineStr">
        <is>
          <t>先補那七項，其他區暫時放著。</t>
        </is>
      </c>
    </row>
    <row r="79" ht="48" customHeight="1" s="10">
      <c r="A79" s="4" t="inlineStr">
        <is>
          <t>48 項全滿</t>
        </is>
      </c>
      <c r="B79" s="4" t="inlineStr">
        <is>
          <t>準備到位了。</t>
        </is>
      </c>
      <c r="C79" s="4" t="inlineStr">
        <is>
          <t>口試前一天再對著人講一次一句話版本與三分鐘版本，計時。</t>
        </is>
      </c>
    </row>
    <row r="80" ht="40" customHeight="1" s="10"/>
    <row r="81" ht="24" customHeight="1" s="10">
      <c r="A81" s="1" t="inlineStr">
        <is>
          <t>沒打勾的，去哪裡補</t>
        </is>
      </c>
    </row>
    <row r="82" ht="26" customHeight="1" s="10">
      <c r="A82" s="3" t="inlineStr">
        <is>
          <t>缺的是</t>
        </is>
      </c>
      <c r="B82" s="3" t="inlineStr">
        <is>
          <t>去哪裡補</t>
        </is>
      </c>
      <c r="C82" s="3" t="inlineStr">
        <is>
          <t>要補成什麼樣子</t>
        </is>
      </c>
    </row>
    <row r="83" ht="48" customHeight="1" s="10">
      <c r="A83" s="4" t="inlineStr">
        <is>
          <t>某一題寫不出答案</t>
        </is>
      </c>
      <c r="B83" s="4" t="inlineStr">
        <is>
          <t>回研究計畫本身</t>
        </is>
      </c>
      <c r="C83" s="4" t="inlineStr">
        <is>
          <t>那題就是你目前最大的風險。先想通，再寫要點，不要硬背。</t>
        </is>
      </c>
    </row>
    <row r="84" ht="48" customHeight="1" s="10">
      <c r="A84" s="4" t="inlineStr">
        <is>
          <t>一句話講成研究背景</t>
        </is>
      </c>
      <c r="B84" s="4" t="inlineStr">
        <is>
          <t>題庫與素材第二節</t>
        </is>
      </c>
      <c r="C84" s="4" t="inlineStr">
        <is>
          <t>對象與範圍＋要回答的問題＋回答之後多知道什麼，壓進一句。三句刪到一句。</t>
        </is>
      </c>
    </row>
    <row r="85" ht="48" customHeight="1" s="10">
      <c r="A85" s="4" t="inlineStr">
        <is>
          <t>技術只答得出優點</t>
        </is>
      </c>
      <c r="B85" s="4" t="inlineStr">
        <is>
          <t>題庫與素材第三節</t>
        </is>
      </c>
      <c r="C85" s="4" t="inlineStr">
        <is>
          <t>它測不到什麼、什麼情況下會失真。這一欄最常被問。</t>
        </is>
      </c>
    </row>
    <row r="86" ht="32" customHeight="1" s="10">
      <c r="A86" s="4" t="inlineStr">
        <is>
          <t>對照組說不出能排除什麼</t>
        </is>
      </c>
      <c r="B86" s="4" t="inlineStr">
        <is>
          <t>題庫實驗設計第一題</t>
        </is>
      </c>
      <c r="C86" s="4" t="inlineStr">
        <is>
          <t>能排除什麼、不能排除什麼，各一句。</t>
        </is>
      </c>
    </row>
    <row r="87" ht="48" customHeight="1" s="10">
      <c r="A87" s="4" t="inlineStr">
        <is>
          <t>統計被問就心虛</t>
        </is>
      </c>
      <c r="B87" s="4" t="inlineStr">
        <is>
          <t>題庫實驗設計第二題</t>
        </is>
      </c>
      <c r="C87" s="4" t="inlineStr">
        <is>
          <t>為什麼用這個檢定、重複數憑什麼夠。統計常被忽略，但幾乎必問。</t>
        </is>
      </c>
    </row>
    <row r="88" ht="48" customHeight="1" s="10">
      <c r="A88" s="4" t="inlineStr">
        <is>
          <t>可行性題卡住</t>
        </is>
      </c>
      <c r="B88" s="4" t="inlineStr">
        <is>
          <t>題庫可行性三題</t>
        </is>
      </c>
      <c r="C88" s="4" t="inlineStr">
        <is>
          <t>週期跑幾輪、儀器排不排得到、樣區季節與颱風，三件都想過。</t>
        </is>
      </c>
    </row>
    <row r="89" ht="48" customHeight="1" s="10">
      <c r="A89" s="4" t="inlineStr">
        <is>
          <t>被指出漏洞就道歉</t>
        </is>
      </c>
      <c r="B89" s="4" t="inlineStr">
        <is>
          <t>題庫與素材第四節</t>
        </is>
      </c>
      <c r="C89" s="4" t="inlineStr">
        <is>
          <t>承認＋具體修正：增加什麼條件、用什麼方法確認、時程影響幾週。</t>
        </is>
      </c>
    </row>
    <row r="90" ht="48" customHeight="1" s="10">
      <c r="A90" s="4" t="inlineStr">
        <is>
          <t>假設被推翻答不出下一步</t>
        </is>
      </c>
      <c r="B90" s="4" t="inlineStr">
        <is>
          <t>題庫研究思考第一題</t>
        </is>
      </c>
      <c r="C90" s="4" t="inlineStr">
        <is>
          <t>結果還可以怎麼解釋、下一步怎麼驗證。負結果只要設計嚴謹就有價值。</t>
        </is>
      </c>
    </row>
    <row r="91" ht="42" customHeight="1" s="10">
      <c r="A91" s="9" t="inlineStr">
        <is>
          <t>要寫成完整答案的部分寫在你自己的筆記裡，這裡只負責告訴你缺什麼。</t>
        </is>
      </c>
    </row>
    <row r="92" ht="40" customHeight="1" s="10"/>
    <row r="93" ht="24" customHeight="1" s="10">
      <c r="A93" s="1" t="inlineStr">
        <is>
          <t>卡關時</t>
        </is>
      </c>
    </row>
    <row r="94" ht="26" customHeight="1" s="10">
      <c r="A94" s="3" t="inlineStr">
        <is>
          <t>狀況</t>
        </is>
      </c>
      <c r="B94" s="3" t="inlineStr">
        <is>
          <t>怎麼辦</t>
        </is>
      </c>
    </row>
    <row r="95" ht="63" customHeight="1" s="10">
      <c r="A95" s="4" t="inlineStr">
        <is>
          <t>被問到完全不熟悉的技術或方法</t>
        </is>
      </c>
      <c r="B95" s="4" t="inlineStr">
        <is>
          <t>不要硬編。說明目前掌握的範圍、你的初步判斷、以及你打算怎麼查證或學。委員要看的是你面對邊界的反應，不是知識庫。</t>
        </is>
      </c>
    </row>
    <row r="96" ht="63" customHeight="1" s="10">
      <c r="A96" s="4" t="inlineStr">
        <is>
          <t>委員說我的對照組排除不了某個因素</t>
        </is>
      </c>
      <c r="B96" s="4" t="inlineStr">
        <is>
          <t>先承認它確實不足以排除，再說如果重新設計會增加什麼條件、用什麼方法確認。只道歉沒有修正，聽起來像放棄。</t>
        </is>
      </c>
    </row>
    <row r="97" ht="63" customHeight="1" s="10">
      <c r="A97" s="4" t="inlineStr">
        <is>
          <t>被問「這台儀器你排得到嗎」</t>
        </is>
      </c>
      <c r="B97" s="4" t="inlineStr">
        <is>
          <t>這是可行性題，很多人準備了實驗設計與方法類卻在這裡卡住。去問實驗室：儀器共用的排程、耗材誰支應、樣區可進入的季節。查過的東西才講得出來。</t>
        </is>
      </c>
    </row>
    <row r="98" ht="63" customHeight="1" s="10">
      <c r="A98" s="4" t="inlineStr">
        <is>
          <t>三句話刪不到一句</t>
        </is>
      </c>
      <c r="B98" s="4" t="inlineStr">
        <is>
          <t>通常代表題目還沒收斂完，不是文字功力問題。回研究計畫看對象與範圍有沒有定清楚。</t>
        </is>
      </c>
    </row>
    <row r="99" ht="63" customHeight="1" s="10">
      <c r="A99" s="4" t="inlineStr">
        <is>
          <t>兩次打出來的數字一樣</t>
        </is>
      </c>
      <c r="B99" s="4" t="inlineStr">
        <is>
          <t>檢查一下是不是這段時間都在讀計畫、沒有找人練。讀得再熟，沒被追問過的題目還是空的。</t>
        </is>
      </c>
    </row>
    <row r="100" ht="40" customHeight="1" s="10"/>
    <row r="101" ht="14" customHeight="1" s="10"/>
    <row r="102" ht="28" customHeight="1" s="10">
      <c r="A102" s="5" t="inlineStr">
        <is>
          <t># 搭配文章：農生環境口試怎麼準備？答辯實驗設計的完整邏輯　https://tbd-edu.com/pages/resources/agriculture-graduate-oral.html</t>
        </is>
      </c>
    </row>
    <row r="103" ht="28" customHeight="1" s="10">
      <c r="A103" s="5" t="inlineStr">
        <is>
          <t># TBD Studio ｜ https://tbd-edu.com/</t>
        </is>
      </c>
    </row>
  </sheetData>
  <mergeCells count="12">
    <mergeCell ref="A41:C41"/>
    <mergeCell ref="A19:C19"/>
    <mergeCell ref="A11:C11"/>
    <mergeCell ref="A68:C68"/>
    <mergeCell ref="A22:C22"/>
    <mergeCell ref="A70:C70"/>
    <mergeCell ref="A91:C91"/>
    <mergeCell ref="A69:C69"/>
    <mergeCell ref="A35:C35"/>
    <mergeCell ref="A26:C26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zoomScale="75" workbookViewId="0">
      <pane ySplit="2" topLeftCell="A33" activePane="bottomLeft" state="frozen"/>
      <selection pane="bottomLeft" activeCell="B41" sqref="B41"/>
    </sheetView>
  </sheetViews>
  <sheetFormatPr baseColWidth="10" defaultColWidth="9" defaultRowHeight="14"/>
  <cols>
    <col width="29" customWidth="1" style="10" min="1" max="1"/>
    <col width="64.59765625" customWidth="1" style="10" min="2" max="2"/>
    <col width="62" customWidth="1" style="10" min="3" max="3"/>
    <col width="31.796875" customWidth="1" style="10" min="4" max="4"/>
    <col width="17.3984375" customWidth="1" style="10" min="5" max="5"/>
    <col width="12" customWidth="1" style="10" min="6" max="6"/>
  </cols>
  <sheetData>
    <row r="1" ht="30" customHeight="1" s="10">
      <c r="A1" s="2" t="inlineStr">
        <is>
          <t>農生與環境｜口試自我檢核表：技術答辯　v1</t>
        </is>
      </c>
    </row>
    <row r="2" ht="28" customHeight="1" s="10">
      <c r="A2" s="15" t="inlineStr">
        <is>
          <t>先寫答案要點，再練口說。每題兩個勾：寫出答案了、練過口說了。判準見「先讀這裡」分頁。淡黃色的儲存格是要你填或勾的，其餘是給你讀的。</t>
        </is>
      </c>
    </row>
    <row r="3" ht="40" customHeight="1" s="10"/>
    <row r="4" ht="24" customHeight="1" s="10">
      <c r="A4" s="1" t="inlineStr">
        <is>
          <t>一、四類技術追問題庫（12 題）</t>
        </is>
      </c>
    </row>
    <row r="5" ht="26" customHeight="1" s="10">
      <c r="A5" s="3" t="inlineStr">
        <is>
          <t>類別</t>
        </is>
      </c>
      <c r="B5" s="3" t="inlineStr">
        <is>
          <t>題目</t>
        </is>
      </c>
      <c r="C5" s="3" t="inlineStr">
        <is>
          <t>我的內容</t>
        </is>
      </c>
      <c r="D5" s="3" t="inlineStr">
        <is>
          <t>寫出答案</t>
        </is>
      </c>
      <c r="E5" s="3" t="inlineStr">
        <is>
          <t>練過口說</t>
        </is>
      </c>
    </row>
    <row r="6" ht="48" customHeight="1" s="10">
      <c r="A6" s="4" t="inlineStr">
        <is>
          <t>實驗設計</t>
        </is>
      </c>
      <c r="B6" s="4" t="inlineStr">
        <is>
          <t>你的對照組是什麼？它能排除什麼、不能排除什麼？</t>
        </is>
      </c>
      <c r="C6" s="6" t="n"/>
      <c r="D6" s="6" t="n"/>
      <c r="E6" s="6" t="n"/>
    </row>
    <row r="7" ht="32" customHeight="1" s="10">
      <c r="A7" s="4" t="inlineStr">
        <is>
          <t>實驗設計</t>
        </is>
      </c>
      <c r="B7" s="4" t="inlineStr">
        <is>
          <t>為什麼是這個重複數？統計上夠嗎？</t>
        </is>
      </c>
      <c r="C7" s="6" t="n"/>
      <c r="D7" s="6" t="n"/>
      <c r="E7" s="6" t="n"/>
    </row>
    <row r="8" ht="48" customHeight="1" s="10">
      <c r="A8" s="4" t="inlineStr">
        <is>
          <t>實驗設計</t>
        </is>
      </c>
      <c r="B8" s="4" t="inlineStr">
        <is>
          <t>這些處理之間，你怎麼確定差異來自處理而不是批次？</t>
        </is>
      </c>
      <c r="C8" s="6" t="n"/>
      <c r="D8" s="6" t="n"/>
      <c r="E8" s="6" t="n"/>
    </row>
    <row r="9" ht="32" customHeight="1" s="10">
      <c r="A9" s="4" t="inlineStr">
        <is>
          <t>方法技術</t>
        </is>
      </c>
      <c r="B9" s="4" t="inlineStr">
        <is>
          <t>這個方法的偵測極限在哪？</t>
        </is>
      </c>
      <c r="C9" s="6" t="n"/>
      <c r="D9" s="6" t="n"/>
      <c r="E9" s="6" t="n"/>
    </row>
    <row r="10" ht="32" customHeight="1" s="10">
      <c r="A10" s="4" t="inlineStr">
        <is>
          <t>方法技術</t>
        </is>
      </c>
      <c r="B10" s="4" t="inlineStr">
        <is>
          <t>你怎麼確認結果不是假陽性？</t>
        </is>
      </c>
      <c r="C10" s="6" t="n"/>
      <c r="D10" s="6" t="n"/>
      <c r="E10" s="6" t="n"/>
    </row>
    <row r="11" ht="32" customHeight="1" s="10">
      <c r="A11" s="4" t="inlineStr">
        <is>
          <t>方法技術</t>
        </is>
      </c>
      <c r="B11" s="4" t="inlineStr">
        <is>
          <t>這一步如果失敗，你會怎麼發現？</t>
        </is>
      </c>
      <c r="C11" s="6" t="n"/>
      <c r="D11" s="6" t="n"/>
      <c r="E11" s="6" t="n"/>
    </row>
    <row r="12" ht="32" customHeight="1" s="10">
      <c r="A12" s="4" t="inlineStr">
        <is>
          <t>可行性</t>
        </is>
      </c>
      <c r="B12" s="4" t="inlineStr">
        <is>
          <t>這個週期跑幾輪？兩年做得完嗎？</t>
        </is>
      </c>
      <c r="C12" s="6" t="n"/>
      <c r="D12" s="6" t="n"/>
      <c r="E12" s="6" t="n"/>
    </row>
    <row r="13" ht="32" customHeight="1" s="10">
      <c r="A13" s="4" t="inlineStr">
        <is>
          <t>可行性</t>
        </is>
      </c>
      <c r="B13" s="4" t="inlineStr">
        <is>
          <t>這台儀器你排得到嗎？耗材誰支應？</t>
        </is>
      </c>
      <c r="C13" s="6" t="n"/>
      <c r="D13" s="6" t="n"/>
      <c r="E13" s="6" t="n"/>
    </row>
    <row r="14" ht="32" customHeight="1" s="10">
      <c r="A14" s="4" t="inlineStr">
        <is>
          <t>可行性</t>
        </is>
      </c>
      <c r="B14" s="4" t="inlineStr">
        <is>
          <t>樣區冬天進得去嗎？遇到颱風季怎麼辦？</t>
        </is>
      </c>
      <c r="C14" s="6" t="n"/>
      <c r="D14" s="6" t="n"/>
      <c r="E14" s="6" t="n"/>
    </row>
    <row r="15" ht="32" customHeight="1" s="10">
      <c r="A15" s="4" t="inlineStr">
        <is>
          <t>研究思考</t>
        </is>
      </c>
      <c r="B15" s="4" t="inlineStr">
        <is>
          <t>如果結果和你的假設相反，你會怎麼解釋？</t>
        </is>
      </c>
      <c r="C15" s="6" t="n"/>
      <c r="D15" s="6" t="n"/>
      <c r="E15" s="6" t="n"/>
    </row>
    <row r="16" ht="32" customHeight="1" s="10">
      <c r="A16" s="4" t="inlineStr">
        <is>
          <t>研究思考</t>
        </is>
      </c>
      <c r="B16" s="4" t="inlineStr">
        <is>
          <t>這個研究做完之後，下一步是什麼？</t>
        </is>
      </c>
      <c r="C16" s="6" t="n"/>
      <c r="D16" s="6" t="n"/>
      <c r="E16" s="6" t="n"/>
    </row>
    <row r="17" ht="32" customHeight="1" s="10">
      <c r="A17" s="4" t="inlineStr">
        <is>
          <t>研究思考</t>
        </is>
      </c>
      <c r="B17" s="4" t="inlineStr">
        <is>
          <t>為什麼是你來做這個題目？</t>
        </is>
      </c>
      <c r="C17" s="6" t="n"/>
      <c r="D17" s="6" t="n"/>
      <c r="E17" s="6" t="n"/>
    </row>
    <row r="18" ht="42" customHeight="1" s="10">
      <c r="A18" s="14" t="inlineStr">
        <is>
          <t>可行性那一類是這個類群特有的，也是最容易被忽略的。很多人準備了實驗設計與方法兩類，卻在「你排得到那台儀器嗎」前面卡住。</t>
        </is>
      </c>
    </row>
    <row r="19" ht="40" customHeight="1" s="10"/>
    <row r="20" ht="24" customHeight="1" s="10">
      <c r="A20" s="1" t="inlineStr">
        <is>
          <t>二、一句話說清楚研究問題與貢獻</t>
        </is>
      </c>
    </row>
    <row r="21" ht="32" customHeight="1" s="10">
      <c r="A21" s="16" t="inlineStr">
        <is>
          <t>結構：對象與範圍 ＋ 要回答的問題 ＋ 回答之後多知道什麼。先寫成三句話，再刪到一句。</t>
        </is>
      </c>
    </row>
    <row r="22" ht="26" customHeight="1" s="10">
      <c r="A22" s="3" t="inlineStr">
        <is>
          <t>步驟</t>
        </is>
      </c>
      <c r="B22" s="3" t="inlineStr">
        <is>
          <t>我的內容</t>
        </is>
      </c>
    </row>
    <row r="23" ht="32" customHeight="1" s="10">
      <c r="A23" s="4" t="inlineStr">
        <is>
          <t>最初三句</t>
        </is>
      </c>
      <c r="B23" s="6" t="n"/>
    </row>
    <row r="24" ht="32" customHeight="1" s="10">
      <c r="A24" s="4" t="inlineStr">
        <is>
          <t>刪成兩句</t>
        </is>
      </c>
      <c r="B24" s="6" t="n"/>
    </row>
    <row r="25" ht="32" customHeight="1" s="10">
      <c r="A25" s="4" t="inlineStr">
        <is>
          <t>最終一句</t>
        </is>
      </c>
      <c r="B25" s="6" t="n"/>
    </row>
    <row r="26" ht="42" customHeight="1" s="10">
      <c r="A26" s="9" t="inlineStr">
        <is>
          <t>完成標準是 30 秒內講完，而且已經進到自己要做什麼。刪不掉通常代表題目還沒收斂完。</t>
        </is>
      </c>
    </row>
    <row r="27" ht="40" customHeight="1" s="10"/>
    <row r="28" ht="24" customHeight="1" s="10">
      <c r="A28" s="1" t="inlineStr">
        <is>
          <t>三、核心技術準備表（每一項技術四件事）</t>
        </is>
      </c>
    </row>
    <row r="29" ht="32" customHeight="1" s="10">
      <c r="A29" s="16" t="inlineStr">
        <is>
          <t>至少涵蓋：你要用的分子或培養方法、樣區與採樣設計、量測儀器、統計方法。第三欄最常被問、也最常準備不足。</t>
        </is>
      </c>
    </row>
    <row r="30" ht="26" customHeight="1" s="10">
      <c r="A30" s="3" t="inlineStr">
        <is>
          <t>核心技術</t>
        </is>
      </c>
      <c r="B30" s="3" t="inlineStr">
        <is>
          <t>原理（為什麼能測到我想測的）</t>
        </is>
      </c>
      <c r="C30" s="3" t="inlineStr">
        <is>
          <t>缺點與盲點（測不到什麼、何時失真）</t>
        </is>
      </c>
      <c r="D30" s="3" t="inlineStr">
        <is>
          <t>替代方案與代價</t>
        </is>
      </c>
    </row>
    <row r="31" ht="32" customHeight="1" s="10">
      <c r="A31" s="6" t="n"/>
      <c r="B31" s="6" t="n"/>
      <c r="C31" s="6" t="n"/>
      <c r="D31" s="6" t="n"/>
    </row>
    <row r="32" ht="32" customHeight="1" s="10">
      <c r="A32" s="6" t="n"/>
      <c r="B32" s="6" t="n"/>
      <c r="C32" s="6" t="n"/>
      <c r="D32" s="6" t="n"/>
    </row>
    <row r="33" ht="32" customHeight="1" s="10">
      <c r="A33" s="6" t="n"/>
      <c r="B33" s="6" t="n"/>
      <c r="C33" s="6" t="n"/>
      <c r="D33" s="6" t="n"/>
    </row>
    <row r="34" ht="32" customHeight="1" s="10">
      <c r="A34" s="6" t="n"/>
      <c r="B34" s="6" t="n"/>
      <c r="C34" s="6" t="n"/>
      <c r="D34" s="6" t="n"/>
    </row>
    <row r="35" ht="42" customHeight="1" s="10">
      <c r="A35" s="9" t="inlineStr">
        <is>
          <t>「這個方法的限制是什麼」幾乎是標準題，只答得出優點的人，在這一題就會顯示出他沒有真的用過。</t>
        </is>
      </c>
    </row>
    <row r="36" ht="40" customHeight="1" s="10"/>
    <row r="37" ht="24" customHeight="1" s="10">
      <c r="A37" s="1" t="inlineStr">
        <is>
          <t>四、被指出漏洞時的句型</t>
        </is>
      </c>
    </row>
    <row r="38" ht="26" customHeight="1" s="10">
      <c r="A38" s="3" t="inlineStr">
        <is>
          <t>狀況</t>
        </is>
      </c>
      <c r="B38" s="3" t="inlineStr">
        <is>
          <t>句型</t>
        </is>
      </c>
      <c r="C38" s="3" t="inlineStr">
        <is>
          <t>我的內容</t>
        </is>
      </c>
    </row>
    <row r="39" ht="70" customHeight="1" s="10">
      <c r="A39" s="4" t="inlineStr">
        <is>
          <t>對照組或實驗設計有疏漏</t>
        </is>
      </c>
      <c r="B39" s="4" t="inlineStr">
        <is>
          <t>這個對照組確實不足以排除＿＿的影響。若重新設計，我會增加＿＿條件，並以＿＿方法進一步確認。</t>
        </is>
      </c>
      <c r="C39" s="6" t="n"/>
    </row>
    <row r="40" ht="92" customHeight="1" s="10">
      <c r="A40" s="4" t="inlineStr">
        <is>
          <t>文獻掌握不足</t>
        </is>
      </c>
      <c r="B40" s="4" t="inlineStr">
        <is>
          <t>這篇我沒有讀到，謝謝老師。就我目前掌握的＿＿那一支討論，我的理解是＿＿；如果這篇的結論與此不同，我需要回去確認它是否改變了我的問題設定。</t>
        </is>
      </c>
      <c r="C40" s="6" t="n"/>
    </row>
    <row r="41" ht="70" customHeight="1" s="10">
      <c r="A41" s="4" t="inlineStr">
        <is>
          <t>樣本或材料取得可能失敗</t>
        </is>
      </c>
      <c r="B41" s="4" t="inlineStr">
        <is>
          <t>這確實是最大的風險。我的備援是改用實驗室已建立的＿＿，處理組會由四組減為三組，時程影響約六週，仍在第一年內。</t>
        </is>
      </c>
      <c r="C41" s="6" t="n"/>
    </row>
    <row r="42" ht="42" customHeight="1" s="10">
      <c r="A42" s="9" t="inlineStr">
        <is>
          <t>把＿＿換成你自己計畫裡的東西，各寫一次。共同結構是承認＋具體修正。</t>
        </is>
      </c>
    </row>
    <row r="43" ht="40" customHeight="1" s="10"/>
    <row r="44" ht="42" customHeight="1" s="10">
      <c r="A44" s="9" t="inlineStr">
        <is>
          <t>填完切到「檢核表」分頁。</t>
        </is>
      </c>
    </row>
    <row r="45" ht="14" customHeight="1" s="10"/>
    <row r="46" ht="28" customHeight="1" s="10">
      <c r="A46" s="5" t="inlineStr">
        <is>
          <t># 搭配文章：農生環境口試怎麼準備？答辯實驗設計的完整邏輯　https://tbd-edu.com/pages/resources/agriculture-graduate-oral.html</t>
        </is>
      </c>
    </row>
    <row r="47" ht="28" customHeight="1" s="10">
      <c r="A47" s="5" t="inlineStr">
        <is>
          <t># TBD Studio ｜ https://tbd-edu.com/</t>
        </is>
      </c>
    </row>
  </sheetData>
  <mergeCells count="8">
    <mergeCell ref="A21:E21"/>
    <mergeCell ref="A29:E29"/>
    <mergeCell ref="A35:E35"/>
    <mergeCell ref="A26:E26"/>
    <mergeCell ref="A2:E2"/>
    <mergeCell ref="A42:E42"/>
    <mergeCell ref="A44:E44"/>
    <mergeCell ref="A18:E18"/>
  </mergeCells>
  <dataValidations count="1">
    <dataValidation sqref="D6:E1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zoomScale="75" workbookViewId="0">
      <pane ySplit="2" topLeftCell="A37" activePane="bottomLeft" state="frozen"/>
      <selection pane="bottomLeft" activeCell="A37" sqref="A37:XFD42"/>
    </sheetView>
  </sheetViews>
  <sheetFormatPr baseColWidth="10" defaultColWidth="9" defaultRowHeight="14"/>
  <cols>
    <col width="93" customWidth="1" style="10" min="1" max="1"/>
    <col width="17.3984375" customWidth="1" style="10" min="2" max="2"/>
    <col width="91" customWidth="1" style="10" min="3" max="3"/>
    <col width="12" customWidth="1" style="10" min="4" max="6"/>
  </cols>
  <sheetData>
    <row r="1" ht="30" customHeight="1" s="10">
      <c r="A1" s="2" t="inlineStr">
        <is>
          <t>農生與環境｜口試自我檢核表：技術答辯　v1</t>
        </is>
      </c>
    </row>
    <row r="2" ht="28" customHeight="1" s="10">
      <c r="A2" s="15" t="inlineStr">
        <is>
          <t>4 區共 24 項。當場講得出來才打 ✓，「應該會吧」留白。判準見「先讀這裡」分頁。淡黃色的儲存格是要你填或勾的，其餘是給你讀的。</t>
        </is>
      </c>
    </row>
    <row r="3" ht="40" customHeight="1" s="10"/>
    <row r="4" ht="24" customHeight="1" s="10">
      <c r="A4" s="1" t="inlineStr">
        <is>
          <t>第 1 區　開場與核心技術（6 項）</t>
        </is>
      </c>
    </row>
    <row r="5" ht="26" customHeight="1" s="10">
      <c r="A5" s="3" t="inlineStr">
        <is>
          <t>檢核項目</t>
        </is>
      </c>
      <c r="B5" s="3" t="inlineStr">
        <is>
          <t>確認</t>
        </is>
      </c>
      <c r="C5" s="3" t="inlineStr">
        <is>
          <t>沒打勾的話，下一步</t>
        </is>
      </c>
    </row>
    <row r="6" ht="49" customHeight="1" s="10">
      <c r="A6" s="4" t="inlineStr">
        <is>
          <t>我能用一句話說清楚研究問題與貢獻，30 秒內講完</t>
        </is>
      </c>
      <c r="B6" s="6" t="n"/>
      <c r="C6" s="4" t="inlineStr">
        <is>
          <t>回題庫與素材第二節，三句刪到一句。</t>
        </is>
      </c>
    </row>
    <row r="7" ht="49" customHeight="1" s="10">
      <c r="A7" s="4" t="inlineStr">
        <is>
          <t>三句話版本也練過，被追問時能展開</t>
        </is>
      </c>
      <c r="B7" s="6" t="n"/>
      <c r="C7" s="4" t="inlineStr">
        <is>
          <t>一句話是開場，三句話是被追問「所以你要做什麼」時的版本。</t>
        </is>
      </c>
    </row>
    <row r="8" ht="49" customHeight="1" s="10">
      <c r="A8" s="4" t="inlineStr">
        <is>
          <t>每一項核心技術都說得出原理與用途</t>
        </is>
      </c>
      <c r="B8" s="6" t="n"/>
      <c r="C8" s="4" t="inlineStr">
        <is>
          <t>回題庫與素材第三節第二欄。</t>
        </is>
      </c>
    </row>
    <row r="9" ht="49" customHeight="1" s="10">
      <c r="A9" s="4" t="inlineStr">
        <is>
          <t>每一項核心技術都說得出限制與盲點</t>
        </is>
      </c>
      <c r="B9" s="6" t="n"/>
      <c r="C9" s="4" t="inlineStr">
        <is>
          <t>回題庫與素材第三節第三欄。這一欄空著就不算。</t>
        </is>
      </c>
    </row>
    <row r="10" ht="49" customHeight="1" s="10">
      <c r="A10" s="4" t="inlineStr">
        <is>
          <t>每一項核心技術都有替代方案，且知道代價</t>
        </is>
      </c>
      <c r="B10" s="6" t="n"/>
      <c r="C10" s="4" t="inlineStr">
        <is>
          <t>真正的備案不是「換一個方法」，而是說得出替代方法能做到什麼、做不到什麼、多花多少時間。</t>
        </is>
      </c>
    </row>
    <row r="11" ht="49" customHeight="1" s="10">
      <c r="A11" s="4" t="inlineStr">
        <is>
          <t>統計方法答得出為什麼選它、重複數夠不夠</t>
        </is>
      </c>
      <c r="B11" s="6" t="n"/>
      <c r="C11" s="4" t="inlineStr">
        <is>
          <t>統計常被忽略，但幾乎必問。回題庫實驗設計第二題。</t>
        </is>
      </c>
    </row>
    <row r="12" ht="42" customHeight="1" s="10">
      <c r="A12" s="9" t="inlineStr">
        <is>
          <t>會做不等於會答。只會說流程不夠，還要答得出「為什麼這樣設計、它排除了什麼」。</t>
        </is>
      </c>
    </row>
    <row r="13" ht="40" customHeight="1" s="10"/>
    <row r="14" ht="24" customHeight="1" s="10">
      <c r="A14" s="1" t="inlineStr">
        <is>
          <t>第 2 區　被指出漏洞或不會回答時（5 項）</t>
        </is>
      </c>
    </row>
    <row r="15" ht="26" customHeight="1" s="10">
      <c r="A15" s="3" t="inlineStr">
        <is>
          <t>檢核項目</t>
        </is>
      </c>
      <c r="B15" s="3" t="inlineStr">
        <is>
          <t>確認</t>
        </is>
      </c>
      <c r="C15" s="3" t="inlineStr">
        <is>
          <t>沒打勾的話，下一步</t>
        </is>
      </c>
    </row>
    <row r="16" ht="40" customHeight="1" s="10">
      <c r="A16" s="4" t="inlineStr">
        <is>
          <t>對照組或實驗設計有疏漏時，我能承認並提出具體修正</t>
        </is>
      </c>
      <c r="B16" s="6" t="n"/>
      <c r="C16" s="4" t="inlineStr">
        <is>
          <t>回題庫與素材第四節第一種句型。</t>
        </is>
      </c>
    </row>
    <row r="17" ht="40" customHeight="1" s="10">
      <c r="A17" s="4" t="inlineStr">
        <is>
          <t>文獻掌握不足時，我能說明目前掌握的範圍與初步判斷</t>
        </is>
      </c>
      <c r="B17" s="6" t="n"/>
      <c r="C17" s="4" t="inlineStr">
        <is>
          <t>回題庫與素材第四節第二種句型。</t>
        </is>
      </c>
    </row>
    <row r="18" ht="40" customHeight="1" s="10">
      <c r="A18" s="4" t="inlineStr">
        <is>
          <t>樣本或材料取得可能失敗時，我有備援且說得出時程代價</t>
        </is>
      </c>
      <c r="B18" s="6" t="n"/>
      <c r="C18" s="4" t="inlineStr">
        <is>
          <t>回題庫與素材第四節第三種句型。</t>
        </is>
      </c>
    </row>
    <row r="19" ht="40" customHeight="1" s="10">
      <c r="A19" s="4" t="inlineStr">
        <is>
          <t>被問到完全不熟悉的技術或方法時，我能誠實說明邊界並提出查證或學習路徑</t>
        </is>
      </c>
      <c r="B19" s="6" t="n"/>
      <c r="C19" s="4" t="inlineStr">
        <is>
          <t>承認目前掌握的範圍 → 說明原始判斷 → 提出具體修正、查證或替代方案。</t>
        </is>
      </c>
    </row>
    <row r="20" ht="40" customHeight="1" s="10">
      <c r="A20" s="4" t="inlineStr">
        <is>
          <t>我沒有只道歉，也沒有硬撐</t>
        </is>
      </c>
      <c r="B20" s="6" t="n"/>
      <c r="C20" s="4" t="inlineStr">
        <is>
          <t>沒有具體修正的承認像放棄；沒有承認的修正像狡辯。</t>
        </is>
      </c>
    </row>
    <row r="21" ht="42" customHeight="1" s="10">
      <c r="A21" s="9" t="inlineStr">
        <is>
          <t>三種句型各寫過一次、講得出來而不會慌，才算。</t>
        </is>
      </c>
    </row>
    <row r="22" ht="40" customHeight="1" s="10"/>
    <row r="23" ht="24" customHeight="1" s="10">
      <c r="A23" s="1" t="inlineStr">
        <is>
          <t>第 3 區　上場前檢核（7 項　沒滿就還不能上場）</t>
        </is>
      </c>
    </row>
    <row r="24" ht="26" customHeight="1" s="10">
      <c r="A24" s="3" t="inlineStr">
        <is>
          <t>檢核項目</t>
        </is>
      </c>
      <c r="B24" s="3" t="inlineStr">
        <is>
          <t>確認</t>
        </is>
      </c>
      <c r="C24" s="3" t="inlineStr">
        <is>
          <t>沒打勾的話，下一步</t>
        </is>
      </c>
    </row>
    <row r="25" ht="37" customHeight="1" s="10">
      <c r="A25" s="4" t="inlineStr">
        <is>
          <t>30 秒研究問題版本已經練到不用逐字稿</t>
        </is>
      </c>
      <c r="B25" s="6" t="n"/>
      <c r="C25" s="4" t="inlineStr">
        <is>
          <t>回題庫與素材第二節。</t>
        </is>
      </c>
    </row>
    <row r="26" ht="37" customHeight="1" s="10">
      <c r="A26" s="4" t="inlineStr">
        <is>
          <t>每一項核心技術的原理、缺點與盲點、替代方案都答得出來</t>
        </is>
      </c>
      <c r="B26" s="6" t="n"/>
      <c r="C26" s="4" t="inlineStr">
        <is>
          <t>回題庫與素材第三節，四欄都填。</t>
        </is>
      </c>
    </row>
    <row r="27" ht="37" customHeight="1" s="10">
      <c r="A27" s="4" t="inlineStr">
        <is>
          <t>四類追問各準備至少三題，且至少被別人連續追問過一輪</t>
        </is>
      </c>
      <c r="B27" s="6" t="n"/>
      <c r="C27" s="4" t="inlineStr">
        <is>
          <t>學長姐、同學或顧問都可以。一定要被打斷過。</t>
        </is>
      </c>
    </row>
    <row r="28" ht="37" customHeight="1" s="10">
      <c r="A28" s="4" t="inlineStr">
        <is>
          <t>假設被推翻時，我說得出結果還可以怎麼解釋、下一步怎麼驗證</t>
        </is>
      </c>
      <c r="B28" s="6" t="n"/>
      <c r="C28" s="4" t="inlineStr">
        <is>
          <t>回題庫研究思考第一題。</t>
        </is>
      </c>
    </row>
    <row r="29" ht="37" customHeight="1" s="10">
      <c r="A29" s="4" t="inlineStr">
        <is>
          <t>備審與研究計畫裡寫下的每一項技術，我都準備好被追問細節</t>
        </is>
      </c>
      <c r="B29" s="6" t="n"/>
      <c r="C29" s="4" t="inlineStr">
        <is>
          <t>寫了技術名稱就要講得出自己實際做過什麼、理解到哪裡。</t>
        </is>
      </c>
    </row>
    <row r="30" ht="37" customHeight="1" s="10">
      <c r="A30" s="4" t="inlineStr">
        <is>
          <t>我已把研究計畫裡自己讀了都想追問的地方標出來</t>
        </is>
      </c>
      <c r="B30" s="6" t="n"/>
      <c r="C30" s="4" t="inlineStr">
        <is>
          <t>那份清單通常就是當天的題目。</t>
        </is>
      </c>
    </row>
    <row r="31" ht="37" customHeight="1" s="10">
      <c r="A31" s="4" t="inlineStr">
        <is>
          <t>服裝、時間、線上設備／網路或現場路線都已確認</t>
        </is>
      </c>
      <c r="B31" s="6" t="n"/>
      <c r="C31" s="4" t="inlineStr">
        <is>
          <t>線上口試先測過鏡頭與麥克風。</t>
        </is>
      </c>
    </row>
    <row r="32" ht="40" customHeight="1" s="10"/>
    <row r="33" ht="42" customHeight="1" s="10">
      <c r="A33" s="9" t="inlineStr">
        <is>
          <t>這七項是最後那道閘門。它們不是新工作，是把前面的準備再問一次。</t>
        </is>
      </c>
    </row>
    <row r="34" ht="40" customHeight="1" s="10"/>
    <row r="35" ht="24" customHeight="1" s="10">
      <c r="A35" s="1" t="inlineStr">
        <is>
          <t>第 4 區　常見失分點（6 項　✓ 代表我不會這樣答）</t>
        </is>
      </c>
    </row>
    <row r="36" ht="26" customHeight="1" s="10">
      <c r="A36" s="3" t="inlineStr">
        <is>
          <t>檢核項目</t>
        </is>
      </c>
      <c r="B36" s="3" t="inlineStr">
        <is>
          <t>確認</t>
        </is>
      </c>
      <c r="C36" s="3" t="inlineStr">
        <is>
          <t>沒打勾的話，下一步</t>
        </is>
      </c>
    </row>
    <row r="37" ht="39" customHeight="1" s="10">
      <c r="A37" s="4" t="inlineStr">
        <is>
          <t>一句話說明講成研究背景，30 秒還沒進到自己要做什麼</t>
        </is>
      </c>
      <c r="B37" s="6" t="n"/>
      <c r="C37" s="4" t="inlineStr">
        <is>
          <t>回題庫與素材第二節，三句刪到一句。</t>
        </is>
      </c>
    </row>
    <row r="38" ht="39" customHeight="1" s="10">
      <c r="A38" s="4" t="inlineStr">
        <is>
          <t>只答得出技術的優點，答不出限制與盲點</t>
        </is>
      </c>
      <c r="B38" s="6" t="n"/>
      <c r="C38" s="4" t="inlineStr">
        <is>
          <t>回題庫與素材第三節第三欄。</t>
        </is>
      </c>
    </row>
    <row r="39" ht="39" customHeight="1" s="10">
      <c r="A39" s="4" t="inlineStr">
        <is>
          <t>被指出對照組問題時只道歉，沒有提出替代設計</t>
        </is>
      </c>
      <c r="B39" s="6" t="n"/>
      <c r="C39" s="4" t="inlineStr">
        <is>
          <t>回題庫與素材第四節第一種句型。</t>
        </is>
      </c>
    </row>
    <row r="40" ht="39" customHeight="1" s="10">
      <c r="A40" s="4" t="inlineStr">
        <is>
          <t>準備了實驗設計與方法類，卻在「儀器排得到嗎」這種可行性題卡住</t>
        </is>
      </c>
      <c r="B40" s="6" t="n"/>
      <c r="C40" s="4" t="inlineStr">
        <is>
          <t>回題庫可行性三題，去問實驗室，不要猜。</t>
        </is>
      </c>
    </row>
    <row r="41" ht="39" customHeight="1" s="10">
      <c r="A41" s="4" t="inlineStr">
        <is>
          <t>假設被推翻時說不出研究還能怎麼往下走</t>
        </is>
      </c>
      <c r="B41" s="6" t="n"/>
      <c r="C41" s="4" t="inlineStr">
        <is>
          <t>回題庫研究思考第一題。負結果只要設計嚴謹就有價值。</t>
        </is>
      </c>
    </row>
    <row r="42" ht="39" customHeight="1" s="10">
      <c r="A42" s="4" t="inlineStr">
        <is>
          <t>備審寫了技術名稱，但講不出自己實際做過什麼、理解到哪裡</t>
        </is>
      </c>
      <c r="B42" s="6" t="n"/>
      <c r="C42" s="4" t="inlineStr">
        <is>
          <t>回檢核表第 3 區第五項。</t>
        </is>
      </c>
    </row>
    <row r="43" ht="40" customHeight="1" s="10"/>
    <row r="44" ht="42" customHeight="1" s="10">
      <c r="A44" s="9" t="inlineStr">
        <is>
          <t>打完切到「我到哪了」分頁看結果。</t>
        </is>
      </c>
    </row>
    <row r="45" ht="14" customHeight="1" s="10"/>
    <row r="46" ht="28" customHeight="1" s="10">
      <c r="A46" s="5" t="inlineStr">
        <is>
          <t># 搭配文章：農生環境口試怎麼準備？答辯實驗設計的完整邏輯　https://tbd-edu.com/pages/resources/agriculture-graduate-oral.html</t>
        </is>
      </c>
    </row>
    <row r="47" ht="28" customHeight="1" s="10">
      <c r="A47" s="5" t="inlineStr">
        <is>
          <t># TBD Studio ｜ https://tbd-edu.com/</t>
        </is>
      </c>
    </row>
  </sheetData>
  <mergeCells count="5">
    <mergeCell ref="A33:C33"/>
    <mergeCell ref="A44:C44"/>
    <mergeCell ref="A21:C21"/>
    <mergeCell ref="A12:C12"/>
    <mergeCell ref="A2:C2"/>
  </mergeCells>
  <dataValidations count="1">
    <dataValidation sqref="B6:B11 B16:B20 B25:B31 B37:B42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zoomScale="75" workbookViewId="0">
      <pane ySplit="2" topLeftCell="A3" activePane="bottomLeft" state="frozen"/>
      <selection pane="bottomLeft" activeCell="A19" activeCellId="1" sqref="A13:XFD13 A19:XFD19"/>
    </sheetView>
  </sheetViews>
  <sheetFormatPr baseColWidth="10" defaultColWidth="9" defaultRowHeight="14"/>
  <cols>
    <col width="43.59765625" customWidth="1" style="10" min="1" max="1"/>
    <col width="20.3984375" customWidth="1" style="10" min="2" max="2"/>
    <col width="67.59765625" customWidth="1" style="10" min="3" max="3"/>
    <col width="75.19921875" customWidth="1" style="10" min="4" max="4"/>
    <col width="12" customWidth="1" style="10" min="5" max="6"/>
  </cols>
  <sheetData>
    <row r="1" ht="30" customHeight="1" s="10">
      <c r="A1" s="2" t="inlineStr">
        <is>
          <t>農生與環境｜口試自我檢核表：技術答辯　v1</t>
        </is>
      </c>
    </row>
    <row r="2" ht="28" customHeight="1" s="10">
      <c r="A2" s="15" t="inlineStr">
        <is>
          <t>數字會跟著前面的分頁自動變。留白的項目就是你接下來的工作清單。</t>
        </is>
      </c>
    </row>
    <row r="3" ht="40" customHeight="1" s="10"/>
    <row r="4" ht="24" customHeight="1" s="10">
      <c r="A4" s="1" t="inlineStr">
        <is>
          <t>6 區完成度</t>
        </is>
      </c>
    </row>
    <row r="5" ht="26" customHeight="1" s="10">
      <c r="A5" s="3" t="inlineStr">
        <is>
          <t>區塊</t>
        </is>
      </c>
      <c r="B5" s="3" t="inlineStr">
        <is>
          <t>已確認</t>
        </is>
      </c>
      <c r="C5" s="3" t="inlineStr">
        <is>
          <t>完成的比例（滿格代表這一區做完）</t>
        </is>
      </c>
      <c r="D5" s="3" t="inlineStr">
        <is>
          <t>這一區在檢查什麼</t>
        </is>
      </c>
    </row>
    <row r="6" ht="32" customHeight="1" s="10">
      <c r="A6" s="4" t="inlineStr">
        <is>
          <t>題庫：寫出答案</t>
        </is>
      </c>
      <c r="B6" s="4">
        <f>COUNTIF(題庫與素材!D6:D17,"✓")&amp;" / 12"</f>
        <v/>
      </c>
      <c r="C6" s="4">
        <f>IF(COUNTIF(題庫與素材!D6:D17,"✓")=0,"尚未開始",REPT("█",ROUND(COUNTIF(題庫與素材!D6:D17,"✓")/12*16,0)))</f>
        <v/>
      </c>
      <c r="D6" s="4" t="inlineStr">
        <is>
          <t>四類追問十二題，寫得出答案要點了沒。</t>
        </is>
      </c>
    </row>
    <row r="7" ht="32" customHeight="1" s="10">
      <c r="A7" s="4" t="inlineStr">
        <is>
          <t>題庫：練過口說</t>
        </is>
      </c>
      <c r="B7" s="4">
        <f>COUNTIF(題庫與素材!E6:E17,"✓")&amp;" / 12"</f>
        <v/>
      </c>
      <c r="C7" s="4">
        <f>IF(COUNTIF(題庫與素材!E6:E17,"✓")=0,"尚未開始",REPT("█",ROUND(COUNTIF(題庫與素材!E6:E17,"✓")/12*16,0)))</f>
        <v/>
      </c>
      <c r="D7" s="4" t="inlineStr">
        <is>
          <t>同樣十二題，被連續追問時講得出來了沒。</t>
        </is>
      </c>
    </row>
    <row r="8" ht="48" customHeight="1" s="10">
      <c r="A8" s="4" t="inlineStr">
        <is>
          <t>開場與核心技術</t>
        </is>
      </c>
      <c r="B8" s="4">
        <f>COUNTIF(檢核表!B6:B11,"✓")&amp;" / 6"</f>
        <v/>
      </c>
      <c r="C8" s="4">
        <f>IF(COUNTIF(檢核表!B6:B11,"✓")=0,"尚未開始",REPT("█",ROUND(COUNTIF(檢核表!B6:B11,"✓")/6*16,0)))</f>
        <v/>
      </c>
      <c r="D8" s="4" t="inlineStr">
        <is>
          <t>一句話收斂了沒、每項技術的原理、限制、替代方案答不答得出。</t>
        </is>
      </c>
    </row>
    <row r="9" ht="32" customHeight="1" s="10">
      <c r="A9" s="4" t="inlineStr">
        <is>
          <t>被指出漏洞或不會回答時</t>
        </is>
      </c>
      <c r="B9" s="4">
        <f>COUNTIF(檢核表!B16:B20,"✓")&amp;" / 5"</f>
        <v/>
      </c>
      <c r="C9" s="4">
        <f>IF(COUNTIF(檢核表!B16:B20,"✓")=0,"尚未開始",REPT("█",ROUND(COUNTIF(檢核表!B16:B20,"✓")/5*16,0)))</f>
        <v/>
      </c>
      <c r="D9" s="4" t="inlineStr">
        <is>
          <t>三種漏洞句型與不熟悉的技術，練過了沒。</t>
        </is>
      </c>
    </row>
    <row r="10" ht="32" customHeight="1" s="10">
      <c r="A10" s="4" t="inlineStr">
        <is>
          <t>上場前檢核</t>
        </is>
      </c>
      <c r="B10" s="4">
        <f>COUNTIF(檢核表!B25:B31,"✓")&amp;" / 7"</f>
        <v/>
      </c>
      <c r="C10" s="4">
        <f>IF(COUNTIF(檢核表!B25:B31,"✓")=0,"尚未開始",REPT("█",ROUND(COUNTIF(檢核表!B25:B31,"✓")/7*16,0)))</f>
        <v/>
      </c>
      <c r="D10" s="4" t="inlineStr">
        <is>
          <t>最後那道閘門。這七項沒到就還不能上場。</t>
        </is>
      </c>
    </row>
    <row r="11" ht="32" customHeight="1" s="10">
      <c r="A11" s="4" t="inlineStr">
        <is>
          <t>常見失分點</t>
        </is>
      </c>
      <c r="B11" s="4">
        <f>COUNTIF(檢核表!B37:B42,"✓")&amp;" / 6"</f>
        <v/>
      </c>
      <c r="C11" s="4">
        <f>IF(COUNTIF(檢核表!B37:B42,"✓")=0,"尚未開始",REPT("█",ROUND(COUNTIF(檢核表!B37:B42,"✓")/6*16,0)))</f>
        <v/>
      </c>
      <c r="D11" s="4" t="inlineStr">
        <is>
          <t>有沒有踩到最常見的六個失分回答。</t>
        </is>
      </c>
    </row>
    <row r="12" ht="32" customHeight="1" s="10">
      <c r="A12" s="4" t="inlineStr">
        <is>
          <t>合計</t>
        </is>
      </c>
      <c r="B12" s="4">
        <f>(COUNTIF(題庫與素材!D6:D17,"✓")+COUNTIF(題庫與素材!E6:E17,"✓")+COUNTIF(檢核表!B6:B11,"✓")+COUNTIF(檢核表!B16:B20,"✓")+COUNTIF(檢核表!B25:B31,"✓")+COUNTIF(檢核表!B37:B42,"✓"))&amp;" / 48"</f>
        <v/>
      </c>
      <c r="C12" s="4">
        <f>IF((COUNTIF(題庫與素材!D6:D17,"✓")+COUNTIF(題庫與素材!E6:E17,"✓")+COUNTIF(檢核表!B6:B11,"✓")+COUNTIF(檢核表!B16:B20,"✓")+COUNTIF(檢核表!B25:B31,"✓")+COUNTIF(檢核表!B37:B42,"✓"))=0,"尚未開始",REPT("█",ROUND((COUNTIF(題庫與素材!D6:D17,"✓")+COUNTIF(題庫與素材!E6:E17,"✓")+COUNTIF(檢核表!B6:B11,"✓")+COUNTIF(檢核表!B16:B20,"✓")+COUNTIF(檢核表!B25:B31,"✓")+COUNTIF(檢核表!B37:B42,"✓"))/48*16,0)))</f>
        <v/>
      </c>
      <c r="D12" s="4" t="inlineStr">
        <is>
          <t>完成率見下方。</t>
        </is>
      </c>
    </row>
    <row r="13" ht="42" customHeight="1" s="10">
      <c r="A13" s="9" t="inlineStr">
        <is>
          <t>7 條長條都換算成同一個滿格刻度，所以可以直接互相比。最短的那一區就是你目前最弱的地方。</t>
        </is>
      </c>
    </row>
    <row r="14" ht="40" customHeight="1" s="10"/>
    <row r="15" ht="24" customHeight="1" s="10">
      <c r="A15" s="1" t="inlineStr">
        <is>
          <t>還有什麼可以做</t>
        </is>
      </c>
    </row>
    <row r="16" ht="26" customHeight="1" s="10">
      <c r="A16" s="3" t="inlineStr">
        <is>
          <t>完成率</t>
        </is>
      </c>
      <c r="B16" s="3" t="inlineStr">
        <is>
          <t>還沒打勾</t>
        </is>
      </c>
      <c r="C16" s="3" t="inlineStr">
        <is>
          <t>怎麼用這兩個數字</t>
        </is>
      </c>
    </row>
    <row r="17" ht="70" customHeight="1" s="10">
      <c r="A17" s="7">
        <f>(COUNTIF(題庫與素材!D6:D17,"✓")+COUNTIF(題庫與素材!E6:E17,"✓")+COUNTIF(檢核表!B6:B11,"✓")+COUNTIF(檢核表!B16:B20,"✓")+COUNTIF(檢核表!B25:B31,"✓")+COUNTIF(檢核表!B37:B42,"✓"))/48</f>
        <v/>
      </c>
      <c r="B17" s="4">
        <f>48-(COUNTIF(題庫與素材!D6:D17,"✓")+COUNTIF(題庫與素材!E6:E17,"✓")+COUNTIF(檢核表!B6:B11,"✓")+COUNTIF(檢核表!B16:B20,"✓")+COUNTIF(檢核表!B25:B31,"✓")+COUNTIF(檢核表!B37:B42,"✓"))</f>
        <v/>
      </c>
      <c r="C17" s="4" t="inlineStr">
        <is>
          <t>「還沒打勾」就是你的工作清單長度。回「檢核表」看那幾列的「下一步」欄，一項對應一件要做的事。</t>
        </is>
      </c>
    </row>
    <row r="18" ht="42" customHeight="1" s="10">
      <c r="A18" s="9" t="inlineStr">
        <is>
          <t>不用追求一次補完。每次回來處理三到五項，隔幾天再打一次，你會看得到自己的進度。</t>
        </is>
      </c>
    </row>
    <row r="19" ht="14" customHeight="1" s="10"/>
    <row r="20" ht="28" customHeight="1" s="10">
      <c r="A20" s="5" t="inlineStr">
        <is>
          <t># 搭配文章：農生環境口試怎麼準備？答辯實驗設計的完整邏輯　https://tbd-edu.com/pages/resources/agriculture-graduate-oral.html</t>
        </is>
      </c>
    </row>
    <row r="21" ht="28" customHeight="1" s="10">
      <c r="A21" s="5" t="inlineStr">
        <is>
          <t># TBD Studio ｜ https://tbd-edu.com/</t>
        </is>
      </c>
    </row>
  </sheetData>
  <mergeCells count="3">
    <mergeCell ref="A18:D18"/>
    <mergeCell ref="A13:D1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H11" sqref="H11"/>
    </sheetView>
  </sheetViews>
  <sheetFormatPr baseColWidth="10" defaultColWidth="9" defaultRowHeight="14"/>
  <cols>
    <col width="16" customWidth="1" style="10" min="1" max="1"/>
    <col width="22" customWidth="1" style="10" min="2" max="2"/>
    <col width="68.59765625" customWidth="1" style="10" min="3" max="3"/>
    <col width="68.19921875" customWidth="1" style="10" min="4" max="4"/>
    <col width="14" customWidth="1" style="10" min="5" max="5"/>
    <col width="12" customWidth="1" style="10" min="6" max="6"/>
  </cols>
  <sheetData>
    <row r="1" ht="30" customHeight="1" s="10">
      <c r="A1" s="2" t="inlineStr">
        <is>
          <t>農生與環境｜口試自我檢核表：技術答辯　v1</t>
        </is>
      </c>
    </row>
    <row r="2" ht="28" customHeight="1" s="10">
      <c r="A2" s="15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10"/>
    <row r="4" ht="24" customHeight="1" s="10">
      <c r="A4" s="1" t="inlineStr">
        <is>
          <t>模擬追問紀錄</t>
        </is>
      </c>
    </row>
    <row r="5" ht="26" customHeight="1" s="10">
      <c r="A5" s="3" t="inlineStr">
        <is>
          <t>日期</t>
        </is>
      </c>
      <c r="B5" s="3" t="inlineStr">
        <is>
          <t>追問類型</t>
        </is>
      </c>
      <c r="C5" s="3" t="inlineStr">
        <is>
          <t>被問倒的地方</t>
        </is>
      </c>
      <c r="D5" s="3" t="inlineStr">
        <is>
          <t>我的下一步</t>
        </is>
      </c>
      <c r="E5" s="3" t="inlineStr">
        <is>
          <t>已改進</t>
        </is>
      </c>
    </row>
    <row r="6" ht="32" customHeight="1" s="10">
      <c r="A6" s="8" t="n"/>
      <c r="B6" s="6" t="n"/>
      <c r="C6" s="6" t="n"/>
      <c r="D6" s="6" t="n"/>
      <c r="E6" s="6" t="n"/>
    </row>
    <row r="7" ht="32" customHeight="1" s="10">
      <c r="A7" s="8" t="n"/>
      <c r="B7" s="6" t="n"/>
      <c r="C7" s="6" t="n"/>
      <c r="D7" s="6" t="n"/>
      <c r="E7" s="6" t="n"/>
    </row>
    <row r="8" ht="32" customHeight="1" s="10">
      <c r="A8" s="8" t="n"/>
      <c r="B8" s="6" t="n"/>
      <c r="C8" s="6" t="n"/>
      <c r="D8" s="6" t="n"/>
      <c r="E8" s="6" t="n"/>
    </row>
    <row r="9" ht="32" customHeight="1" s="10">
      <c r="A9" s="8" t="n"/>
      <c r="B9" s="6" t="n"/>
      <c r="C9" s="6" t="n"/>
      <c r="D9" s="6" t="n"/>
      <c r="E9" s="6" t="n"/>
    </row>
    <row r="10" ht="32" customHeight="1" s="10">
      <c r="A10" s="8" t="n"/>
      <c r="B10" s="6" t="n"/>
      <c r="C10" s="6" t="n"/>
      <c r="D10" s="6" t="n"/>
      <c r="E10" s="6" t="n"/>
    </row>
    <row r="11" ht="32" customHeight="1" s="10">
      <c r="A11" s="8" t="n"/>
      <c r="B11" s="6" t="n"/>
      <c r="C11" s="6" t="n"/>
      <c r="D11" s="6" t="n"/>
      <c r="E11" s="6" t="n"/>
    </row>
    <row r="12" ht="32" customHeight="1" s="10">
      <c r="A12" s="8" t="n"/>
      <c r="B12" s="6" t="n"/>
      <c r="C12" s="6" t="n"/>
      <c r="D12" s="6" t="n"/>
      <c r="E12" s="6" t="n"/>
    </row>
    <row r="13" ht="32" customHeight="1" s="10">
      <c r="A13" s="8" t="n"/>
      <c r="B13" s="6" t="n"/>
      <c r="C13" s="6" t="n"/>
      <c r="D13" s="6" t="n"/>
      <c r="E13" s="6" t="n"/>
    </row>
    <row r="14" ht="32" customHeight="1" s="10">
      <c r="A14" s="8" t="n"/>
      <c r="B14" s="6" t="n"/>
      <c r="C14" s="6" t="n"/>
      <c r="D14" s="6" t="n"/>
      <c r="E14" s="6" t="n"/>
    </row>
    <row r="15" ht="32" customHeight="1" s="10">
      <c r="A15" s="8" t="n"/>
      <c r="B15" s="6" t="n"/>
      <c r="C15" s="6" t="n"/>
      <c r="D15" s="6" t="n"/>
      <c r="E15" s="6" t="n"/>
    </row>
    <row r="16" ht="42" customHeight="1" s="10">
      <c r="A16" s="9" t="inlineStr">
        <is>
          <t>自己想過和被別人連續追問是兩種壓力。找學長姐、同學或顧問各做一輪，四類方向都要問到，可行性那一類不要跳過。</t>
        </is>
      </c>
    </row>
    <row r="17" ht="14" customHeight="1" s="10"/>
    <row r="18" ht="28" customHeight="1" s="10">
      <c r="A18" s="5" t="inlineStr">
        <is>
          <t># 搭配文章：農生環境口試怎麼準備？答辯實驗設計的完整邏輯　https://tbd-edu.com/pages/resources/agriculture-graduate-oral.html</t>
        </is>
      </c>
    </row>
    <row r="19" ht="28" customHeight="1" s="10">
      <c r="A19" s="5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"實驗設計,方法技術,可行性,研究思考"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2026-09-21T09:17:58Z</dcterms:created>
  <dcterms:modified xmlns:dcterms="http://purl.org/dc/terms/" xmlns:xsi="http://www.w3.org/2001/XMLSchema-instance" xsi:type="dcterms:W3CDTF">2026-09-24T14:04:37Z</dcterms:modified>
  <cp:lastModifiedBy>TBD Studio</cp:lastModifiedBy>
</cp:coreProperties>
</file>