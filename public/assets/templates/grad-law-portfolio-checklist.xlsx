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80" tabRatio="600" firstSheet="0" activeTab="3" autoFilterDateGrouping="1"/>
  </bookViews>
  <sheets>
    <sheet xmlns:r="http://schemas.openxmlformats.org/officeDocument/2006/relationships" name="先讀這裡" sheetId="1" state="visible" r:id="rId1"/>
    <sheet xmlns:r="http://schemas.openxmlformats.org/officeDocument/2006/relationships" name="經歷盤點" sheetId="2" state="visible" r:id="rId2"/>
    <sheet xmlns:r="http://schemas.openxmlformats.org/officeDocument/2006/relationships" name="檢核表" sheetId="3" state="visible" r:id="rId3"/>
    <sheet xmlns:r="http://schemas.openxmlformats.org/officeDocument/2006/relationships" name="我到哪了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sz val="11"/>
    </font>
    <font>
      <name val="Arial"/>
      <family val="2"/>
      <b val="1"/>
      <color rgb="FF1F3A5F"/>
      <sz val="24"/>
    </font>
    <font>
      <name val="Arial"/>
      <family val="2"/>
      <color rgb="FF3F5674"/>
      <sz val="16"/>
    </font>
    <font>
      <name val="Arial"/>
      <family val="2"/>
      <b val="1"/>
      <color rgb="FF1F3A5F"/>
      <sz val="16"/>
    </font>
    <font>
      <name val="Arial"/>
      <family val="2"/>
      <b val="1"/>
      <color rgb="FFFFFFFF"/>
      <sz val="16"/>
    </font>
    <font>
      <name val="Arial"/>
      <family val="2"/>
      <sz val="16"/>
    </font>
    <font>
      <name val="Arial"/>
      <family val="2"/>
      <b val="1"/>
      <color rgb="FFA54E3D"/>
      <sz val="16"/>
    </font>
    <font>
      <name val="Arial"/>
      <family val="2"/>
      <color rgb="FF6D8098"/>
      <sz val="16"/>
    </font>
    <font>
      <name val="Courier New"/>
      <family val="1"/>
      <color theme="1" tint="0.3499862666707358"/>
      <sz val="16"/>
    </font>
    <font>
      <name val="新細明體"/>
      <charset val="136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rgb="FFE4EAF2"/>
      </patternFill>
    </fill>
    <fill>
      <patternFill patternType="solid">
        <fgColor rgb="FF1F3A5F"/>
      </patternFill>
    </fill>
    <fill>
      <patternFill patternType="solid">
        <fgColor rgb="FFFFF6D9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C8D2DE"/>
      </left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/>
      <top style="thin">
        <color rgb="FFC8D2DE"/>
      </top>
      <bottom/>
      <diagonal/>
    </border>
    <border>
      <left/>
      <right style="thin">
        <color rgb="FFC8D2DE"/>
      </right>
      <top style="thin">
        <color rgb="FFC8D2DE"/>
      </top>
      <bottom/>
      <diagonal/>
    </border>
  </borders>
  <cellStyleXfs count="1">
    <xf numFmtId="0" fontId="0" fillId="0" borderId="1"/>
  </cellStyleXfs>
  <cellXfs count="22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4" fillId="2" borderId="0" pivotButton="0" quotePrefix="0" xfId="0"/>
    <xf numFmtId="0" fontId="5" fillId="3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0" fontId="8" fillId="0" borderId="1" applyAlignment="1" pivotButton="0" quotePrefix="0" xfId="0">
      <alignment horizontal="left" vertical="top" wrapText="1"/>
    </xf>
    <xf numFmtId="49" fontId="6" fillId="0" borderId="2" applyAlignment="1" pivotButton="0" quotePrefix="0" xfId="0">
      <alignment vertical="top" wrapText="1"/>
    </xf>
    <xf numFmtId="0" fontId="1" fillId="0" borderId="1" pivotButton="0" quotePrefix="0" xfId="0"/>
    <xf numFmtId="0" fontId="9" fillId="0" borderId="1" applyAlignment="1" pivotButton="0" quotePrefix="0" xfId="0">
      <alignment vertical="center"/>
    </xf>
    <xf numFmtId="0" fontId="6" fillId="4" borderId="2" applyAlignment="1" pivotButton="0" quotePrefix="0" xfId="0">
      <alignment vertical="top" wrapText="1"/>
    </xf>
    <xf numFmtId="9" fontId="6" fillId="0" borderId="2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0" fillId="0" borderId="3" pivotButton="0" quotePrefix="0" xfId="0"/>
    <xf numFmtId="0" fontId="5" fillId="3" borderId="2" applyAlignment="1" pivotButton="0" quotePrefix="0" xfId="0">
      <alignment vertical="center" wrapText="1"/>
    </xf>
    <xf numFmtId="0" fontId="3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zoomScale="75" workbookViewId="0">
      <pane ySplit="2" topLeftCell="A82" activePane="bottomLeft" state="frozen"/>
      <selection pane="bottomLeft" activeCell="A88" sqref="A88:XFD89"/>
    </sheetView>
  </sheetViews>
  <sheetFormatPr baseColWidth="10" defaultColWidth="9" defaultRowHeight="14"/>
  <cols>
    <col width="36.59765625" customWidth="1" style="12" min="1" max="1"/>
    <col width="79.19921875" customWidth="1" style="12" min="2" max="2"/>
    <col width="57.796875" customWidth="1" style="12" min="3" max="3"/>
    <col width="14" customWidth="1" style="12" min="4" max="4"/>
    <col width="12" customWidth="1" style="12" min="5" max="5"/>
    <col width="13" customWidth="1" style="12" min="6" max="6"/>
  </cols>
  <sheetData>
    <row r="1" ht="30" customHeight="1" s="12">
      <c r="A1" s="1" t="inlineStr">
        <is>
          <t>法政｜備審檢核表　v1</t>
        </is>
      </c>
    </row>
    <row r="2" ht="28" customHeight="1" s="12">
      <c r="A2" s="19" t="inlineStr">
        <is>
          <t>先讀這頁，大約三分鐘。這份工具有四個分頁，主體是打勾。</t>
        </is>
      </c>
    </row>
    <row r="3" ht="40" customHeight="1" s="12"/>
    <row r="4" ht="24" customHeight="1" s="12">
      <c r="A4" s="2" t="inlineStr">
        <is>
          <t>這份表是什麼、不是什麼</t>
        </is>
      </c>
    </row>
    <row r="5" ht="26" customHeight="1" s="12">
      <c r="A5" s="18" t="inlineStr">
        <is>
          <t>它是</t>
        </is>
      </c>
      <c r="B5" s="18" t="inlineStr">
        <is>
          <t>它不是</t>
        </is>
      </c>
    </row>
    <row r="6" ht="79" customHeight="1" s="12">
      <c r="A6" s="16" t="inlineStr">
        <is>
          <t>一面鏡子。照出你的備審現在到哪了、還有哪些沒做。</t>
        </is>
      </c>
      <c r="B6" s="16" t="inlineStr">
        <is>
          <t>寫作工作台。經歷盤點那頁只是快速列一次，完整文字版在另外幾份表。</t>
        </is>
      </c>
    </row>
    <row r="7" ht="79" customHeight="1" s="12">
      <c r="A7" s="16" t="inlineStr">
        <is>
          <t>一次二十分鐘就做得完的自我盤點。</t>
        </is>
      </c>
      <c r="B7" s="16" t="inlineStr">
        <is>
          <t>寫作指導。這裡不教你怎麼寫，只告訴你哪裡還沒寫。</t>
        </is>
      </c>
    </row>
    <row r="8" ht="79" customHeight="1" s="12">
      <c r="A8" s="16" t="inlineStr">
        <is>
          <t>可以重複用的。每投一間學校前都回來打一次。</t>
        </is>
      </c>
      <c r="B8" s="16" t="inlineStr">
        <is>
          <t>一次性的送件清單。全部打完勾不是終點，是可以送件的起點。</t>
        </is>
      </c>
    </row>
    <row r="9" ht="40" customHeight="1" s="12"/>
    <row r="10" ht="24" customHeight="1" s="12">
      <c r="A10" s="2" t="inlineStr">
        <is>
          <t>這個類群的備審在驗證什麼</t>
        </is>
      </c>
    </row>
    <row r="11" ht="32" customHeight="1" s="12">
      <c r="A11" s="20" t="inlineStr">
        <is>
          <t>專業背景與研究背景的連結。不是「我做過很多事」。</t>
        </is>
      </c>
    </row>
    <row r="12" ht="53" customHeight="1" s="12">
      <c r="A12" s="21" t="inlineStr">
        <is>
          <t>CV、自傳、研究計畫三份文件必須分工清楚、互不重複，並共同指向同一個研究方向。三份的時態不同：CV 是過去的客觀事實，自傳是過去到現在的軌跡，研究計畫是未來的規劃。時態混在一起，教授就讀不出你要研究什麼。</t>
        </is>
      </c>
    </row>
    <row r="13" ht="40" customHeight="1" s="12"/>
    <row r="14" ht="24" customHeight="1" s="12">
      <c r="A14" s="2" t="inlineStr">
        <is>
          <t>實務經歷怎麼變成能力證據</t>
        </is>
      </c>
    </row>
    <row r="15" ht="26" customHeight="1" s="12">
      <c r="A15" s="18" t="inlineStr">
        <is>
          <t>沒有資訊量的寫法</t>
        </is>
      </c>
      <c r="B15" s="18" t="inlineStr">
        <is>
          <t>變成能力證據的寫法</t>
        </is>
      </c>
    </row>
    <row r="16" ht="73" customHeight="1" s="12">
      <c r="A16" s="16" t="inlineStr">
        <is>
          <t>協助處理民眾法律諮詢，累積實務經驗</t>
        </is>
      </c>
      <c r="B16" s="16" t="inlineStr">
        <is>
          <t>處理過哪一類型案件、大約幾件、在哪一個環節反覆看到規範與實務的落差、因此開始追問什麼問題</t>
        </is>
      </c>
    </row>
    <row r="17" ht="29" customHeight="1" s="12">
      <c r="A17" s="14" t="inlineStr">
        <is>
          <t>教授在意的不是你參加過什麼，而是你從中看見了什麼、能不能把它問題化。這正是實務經歷比一堆掛名活動更有價值的地方。</t>
        </is>
      </c>
    </row>
    <row r="18" ht="29" customHeight="1" s="12">
      <c r="A18" s="14" t="inlineStr">
        <is>
          <t>純學術資歷少不一定弱，關鍵在你有沒有把法服、旁聽、實習轉譯成「發現問題」與「法理推導」的證據。</t>
        </is>
      </c>
    </row>
    <row r="19" ht="40" customHeight="1" s="12"/>
    <row r="20" ht="24" customHeight="1" s="12">
      <c r="A20" s="2" t="inlineStr">
        <is>
          <t>每段經歷該寫出的七件事</t>
        </is>
      </c>
    </row>
    <row r="21" ht="32" customHeight="1" s="12">
      <c r="A21" s="20" t="inlineStr">
        <is>
          <t>缺三項以上，這段經歷等於沒寫。最後一項「這段經歷讓我看見什麼問題」，是通往研究動機的橋。</t>
        </is>
      </c>
    </row>
    <row r="22" ht="40" customHeight="1" s="12"/>
    <row r="23" ht="24" customHeight="1" s="12">
      <c r="A23" s="2" t="inlineStr">
        <is>
          <t>自傳的任務是研究動機的形成軌跡，不是人生回顧</t>
        </is>
      </c>
    </row>
    <row r="24" ht="53" customHeight="1" s="12">
      <c r="A24" s="21" t="inlineStr">
        <is>
          <t>家庭背景那一段常常佔掉三分之一篇幅，卻沒有提供任何教授需要的資訊。同樣該壓縮的還有與研究方向無關的社團活動，以及「積極負責、抗壓性強」這類空泛的人格特質形容。這些話任何人都能寫，因此沒有說服力。</t>
        </is>
      </c>
    </row>
    <row r="25" ht="40" customHeight="1" s="12"/>
    <row r="26" ht="24" customHeight="1" s="12">
      <c r="A26" s="2" t="inlineStr">
        <is>
          <t>什麼時候用，可以用幾次</t>
        </is>
      </c>
    </row>
    <row r="27" ht="64" customHeight="1" s="12">
      <c r="A27" s="21" t="inlineStr">
        <is>
          <t>第一次：大三下到大四上，開始整理 CV 之前。之後每隔三到四週回來打一次。推薦信建議暑假就開口，最遲不要拖到送件前一個月，所以那一區要提早處理。</t>
        </is>
      </c>
    </row>
    <row r="28" ht="40" customHeight="1" s="12"/>
    <row r="29" ht="24" customHeight="1" s="12">
      <c r="A29" s="2" t="inlineStr">
        <is>
          <t>四個分頁的分工</t>
        </is>
      </c>
    </row>
    <row r="30" ht="26" customHeight="1" s="12">
      <c r="A30" s="18" t="inlineStr">
        <is>
          <t>分頁</t>
        </is>
      </c>
      <c r="B30" s="18" t="inlineStr">
        <is>
          <t>做什麼</t>
        </is>
      </c>
    </row>
    <row r="31" ht="46" customHeight="1" s="12">
      <c r="A31" s="16" t="inlineStr">
        <is>
          <t>先讀這裡</t>
        </is>
      </c>
      <c r="B31" s="16" t="inlineStr">
        <is>
          <t>你正在讀的這頁。判準、怎麼打勾、結果怎麼看、卡關怎麼辦。</t>
        </is>
      </c>
    </row>
    <row r="32" ht="46" customHeight="1" s="12">
      <c r="A32" s="16" t="inlineStr">
        <is>
          <t>經歷盤點</t>
        </is>
      </c>
      <c r="B32" s="16" t="inlineStr">
        <is>
          <t>唯一要寫字的地方，而且只寫關鍵字。先全部倒出來再刪。</t>
        </is>
      </c>
    </row>
    <row r="33" ht="46" customHeight="1" s="12">
      <c r="A33" s="16" t="inlineStr">
        <is>
          <t>檢核表</t>
        </is>
      </c>
      <c r="B33" s="16" t="inlineStr">
        <is>
          <t>8 區共 60 項，逐項打勾。每一項旁邊都寫好了沒打勾的話下一步做什麼。</t>
        </is>
      </c>
    </row>
    <row r="34" ht="32" customHeight="1" s="12">
      <c r="A34" s="16" t="inlineStr">
        <is>
          <t>我到哪了</t>
        </is>
      </c>
      <c r="B34" s="16" t="inlineStr">
        <is>
          <t>打完之後看這頁。8 區完成度與還沒打勾的數量。</t>
        </is>
      </c>
    </row>
    <row r="35" ht="40" customHeight="1" s="12"/>
    <row r="36" ht="24" customHeight="1" s="12">
      <c r="A36" s="2" t="inlineStr">
        <is>
          <t>四個步驟</t>
        </is>
      </c>
    </row>
    <row r="37" ht="26" customHeight="1" s="12">
      <c r="A37" s="18" t="inlineStr">
        <is>
          <t>步驟</t>
        </is>
      </c>
      <c r="B37" s="18" t="inlineStr">
        <is>
          <t>做什麼</t>
        </is>
      </c>
    </row>
    <row r="38" ht="48" customHeight="1" s="12">
      <c r="A38" s="16" t="inlineStr">
        <is>
          <t>第 1 步</t>
        </is>
      </c>
      <c r="B38" s="16" t="inlineStr">
        <is>
          <t>切到「經歷盤點」分頁，先全部倒出來再刪。空著的欄位代表這段還沒被轉譯成能力證據。</t>
        </is>
      </c>
    </row>
    <row r="39" ht="46" customHeight="1" s="12">
      <c r="A39" s="16" t="inlineStr">
        <is>
          <t>第 2 步</t>
        </is>
      </c>
      <c r="B39" s="16" t="inlineStr">
        <is>
          <t>切到「檢核表」分頁，第 1 區先確認有沒有漏掉的法政經歷，再往下打。</t>
        </is>
      </c>
    </row>
    <row r="40" ht="32" customHeight="1" s="12">
      <c r="A40" s="16" t="inlineStr">
        <is>
          <t>第 3 步</t>
        </is>
      </c>
      <c r="B40" s="16" t="inlineStr">
        <is>
          <t>切到「我到哪了」分頁，看哪一區最短。</t>
        </is>
      </c>
    </row>
    <row r="41" ht="46" customHeight="1" s="12">
      <c r="A41" s="16" t="inlineStr">
        <is>
          <t>第 4 步</t>
        </is>
      </c>
      <c r="B41" s="16" t="inlineStr">
        <is>
          <t>回頭看沒打勾的項目，「下一步」欄告訴你要去哪一份文件補什麼。</t>
        </is>
      </c>
    </row>
    <row r="42" ht="40" customHeight="1" s="12"/>
    <row r="43" ht="24" customHeight="1" s="12">
      <c r="A43" s="2" t="inlineStr">
        <is>
          <t>八個區塊各在檢查什麼</t>
        </is>
      </c>
    </row>
    <row r="44" ht="26" customHeight="1" s="12">
      <c r="A44" s="18" t="inlineStr">
        <is>
          <t>區塊</t>
        </is>
      </c>
      <c r="B44" s="18" t="inlineStr">
        <is>
          <t>幾項</t>
        </is>
      </c>
      <c r="C44" s="18" t="inlineStr">
        <is>
          <t>在檢查什麼</t>
        </is>
      </c>
    </row>
    <row r="45" ht="46" customHeight="1" s="12">
      <c r="A45" s="16" t="inlineStr">
        <is>
          <t>容易漏掉的法政經歷</t>
        </is>
      </c>
      <c r="B45" s="6" t="n">
        <v>11</v>
      </c>
      <c r="C45" s="16" t="inlineStr">
        <is>
          <t>盤點的時候有沒有把這十一類都想過一遍。</t>
        </is>
      </c>
    </row>
    <row r="46" ht="46" customHeight="1" s="12">
      <c r="A46" s="16" t="inlineStr">
        <is>
          <t>學術 CV 十二欄位</t>
        </is>
      </c>
      <c r="B46" s="6" t="n">
        <v>12</v>
      </c>
      <c r="C46" s="16" t="inlineStr">
        <is>
          <t>十二個欄位有沒有齊，沒有的不要硬湊。</t>
        </is>
      </c>
    </row>
    <row r="47" ht="46" customHeight="1" s="12">
      <c r="A47" s="16" t="inlineStr">
        <is>
          <t>每段經歷該寫出的七件事</t>
        </is>
      </c>
      <c r="B47" s="6" t="n">
        <v>7</v>
      </c>
      <c r="C47" s="16" t="inlineStr">
        <is>
          <t>每一段經歷是不是七件事都寫出來了。</t>
        </is>
      </c>
    </row>
    <row r="48" ht="46" customHeight="1" s="12">
      <c r="A48" s="16" t="inlineStr">
        <is>
          <t>自傳</t>
        </is>
      </c>
      <c r="B48" s="6" t="n">
        <v>8</v>
      </c>
      <c r="C48" s="16" t="inlineStr">
        <is>
          <t>四個要素寫了沒，四種該刪的刪了沒。</t>
        </is>
      </c>
    </row>
    <row r="49" ht="46" customHeight="1" s="12">
      <c r="A49" s="16" t="inlineStr">
        <is>
          <t>文件一致性</t>
        </is>
      </c>
      <c r="B49" s="6" t="n">
        <v>5</v>
      </c>
      <c r="C49" s="16" t="inlineStr">
        <is>
          <t>三份是不是指向同一個次領域。</t>
        </is>
      </c>
    </row>
    <row r="50" ht="32" customHeight="1" s="12">
      <c r="A50" s="16" t="inlineStr">
        <is>
          <t>送件前五問</t>
        </is>
      </c>
      <c r="B50" s="6" t="n">
        <v>5</v>
      </c>
      <c r="C50" s="16" t="inlineStr">
        <is>
          <t>整份備審的自我檢核。</t>
        </is>
      </c>
    </row>
    <row r="51" ht="46" customHeight="1" s="12">
      <c r="A51" s="16" t="inlineStr">
        <is>
          <t>常見失分點</t>
        </is>
      </c>
      <c r="B51" s="6" t="n">
        <v>6</v>
      </c>
      <c r="C51" s="16" t="inlineStr">
        <is>
          <t>有沒有踩到最常見的六個扣分寫法。</t>
        </is>
      </c>
    </row>
    <row r="52" ht="46" customHeight="1" s="12">
      <c r="A52" s="16" t="inlineStr">
        <is>
          <t>送出前檢核</t>
        </is>
      </c>
      <c r="B52" s="6" t="n">
        <v>6</v>
      </c>
      <c r="C52" s="16" t="inlineStr">
        <is>
          <t>最後那道閘門。這六項沒到就先別送。</t>
        </is>
      </c>
    </row>
    <row r="53" ht="40" customHeight="1" s="12"/>
    <row r="54" ht="24" customHeight="1" s="12">
      <c r="A54" s="2" t="inlineStr">
        <is>
          <t>什麼情況才算 ✓</t>
        </is>
      </c>
    </row>
    <row r="55" ht="32" customHeight="1" s="12">
      <c r="A55" s="21" t="inlineStr">
        <is>
          <t>打勾之前先問自己一句：如果現在有人要我舉出具體例子，我舉得出來嗎。舉得出來才算 ✓，覺得「應該有吧」不算。</t>
        </is>
      </c>
    </row>
    <row r="56" ht="32" customHeight="1" s="12">
      <c r="A56" s="20" t="inlineStr">
        <is>
          <t>這張表只有你自己會看。寬鬆給分唯一的效果，是讓你在口試現場才發現缺口。留白不是失敗，留白就是你接下來的工作清單。</t>
        </is>
      </c>
    </row>
    <row r="57" ht="42" customHeight="1" s="12">
      <c r="A57" s="14" t="inlineStr">
        <is>
          <t>「常見失分點」與「自傳」區裡標了「該刪」的那幾項，語意是相反的：✓ 代表「我確認自己沒有這個問題」。項目上有標。</t>
        </is>
      </c>
    </row>
    <row r="58" ht="40" customHeight="1" s="12"/>
    <row r="59" ht="24" customHeight="1" s="12">
      <c r="A59" s="2" t="inlineStr">
        <is>
          <t>結果怎麼看</t>
        </is>
      </c>
    </row>
    <row r="60" ht="26" customHeight="1" s="12">
      <c r="A60" s="18" t="inlineStr">
        <is>
          <t>你看到的</t>
        </is>
      </c>
      <c r="B60" s="18" t="inlineStr">
        <is>
          <t>代表什麼</t>
        </is>
      </c>
      <c r="C60" s="18" t="inlineStr">
        <is>
          <t>接下來</t>
        </is>
      </c>
    </row>
    <row r="61" ht="67" customHeight="1" s="12">
      <c r="A61" s="16" t="inlineStr">
        <is>
          <t>幾乎全空</t>
        </is>
      </c>
      <c r="B61" s="16" t="inlineStr">
        <is>
          <t>這不是壞消息，這是你現在的起點。</t>
        </is>
      </c>
      <c r="C61" s="16" t="inlineStr">
        <is>
          <t>從「送出前檢核」那六項往回推，一項對應一件要做的事。</t>
        </is>
      </c>
    </row>
    <row r="62" ht="67" customHeight="1" s="12">
      <c r="A62" s="16" t="inlineStr">
        <is>
          <t>第 1 區沒滿</t>
        </is>
      </c>
      <c r="B62" s="16" t="inlineStr">
        <is>
          <t>你的盤點還沒做完，後面幾區會跟著失真。</t>
        </is>
      </c>
      <c r="C62" s="16" t="inlineStr">
        <is>
          <t>回經歷盤點，把那十一類逐類想過一遍再往下打。</t>
        </is>
      </c>
    </row>
    <row r="63" ht="67" customHeight="1" s="12">
      <c r="A63" s="16" t="inlineStr">
        <is>
          <t>CV 滿了，但七件事那區很空</t>
        </is>
      </c>
      <c r="B63" s="16" t="inlineStr">
        <is>
          <t>你有一份清單，但每一段都沒有厚度。</t>
        </is>
      </c>
      <c r="C63" s="16" t="inlineStr">
        <is>
          <t>挑最重要的兩三段補完七件事，其餘維持條列。</t>
        </is>
      </c>
    </row>
    <row r="64" ht="67" customHeight="1" s="12">
      <c r="A64" s="16" t="inlineStr">
        <is>
          <t>一致性那區沒滿</t>
        </is>
      </c>
      <c r="B64" s="16" t="inlineStr">
        <is>
          <t>三份文件指向不同的次領域。</t>
        </is>
      </c>
      <c r="C64" s="16" t="inlineStr">
        <is>
          <t>先確定研究計畫的次領域，再回頭調 CV 與自傳的排序與強調。</t>
        </is>
      </c>
    </row>
    <row r="65" ht="67" customHeight="1" s="12">
      <c r="A65" s="16" t="inlineStr">
        <is>
          <t>60 項全滿</t>
        </is>
      </c>
      <c r="B65" s="16" t="inlineStr">
        <is>
          <t>備審這一關到位了。</t>
        </is>
      </c>
      <c r="C65" s="16" t="inlineStr">
        <is>
          <t>把重點移到口試。備審裡的每一句話都可能被追問細節。</t>
        </is>
      </c>
    </row>
    <row r="66" ht="40" customHeight="1" s="12"/>
    <row r="67" ht="24" customHeight="1" s="12">
      <c r="A67" s="2" t="inlineStr">
        <is>
          <t>沒打勾的，去哪裡補</t>
        </is>
      </c>
    </row>
    <row r="68" ht="26" customHeight="1" s="12">
      <c r="A68" s="18" t="inlineStr">
        <is>
          <t>缺的是</t>
        </is>
      </c>
      <c r="B68" s="18" t="inlineStr">
        <is>
          <t>補在哪一份文件</t>
        </is>
      </c>
      <c r="C68" s="18" t="inlineStr">
        <is>
          <t>要補成什麼樣子</t>
        </is>
      </c>
    </row>
    <row r="69" ht="67" customHeight="1" s="12">
      <c r="A69" s="16" t="inlineStr">
        <is>
          <t>經歷只寫參與</t>
        </is>
      </c>
      <c r="B69" s="16" t="inlineStr">
        <is>
          <t>CV</t>
        </is>
      </c>
      <c r="C69" s="16" t="inlineStr">
        <is>
          <t>補處理過什麼爭議、幾件、在哪個環節看到什麼落差。</t>
        </is>
      </c>
    </row>
    <row r="70" ht="67" customHeight="1" s="12">
      <c r="A70" s="16" t="inlineStr">
        <is>
          <t>經歷缺少量化規模</t>
        </is>
      </c>
      <c r="B70" s="16" t="inlineStr">
        <is>
          <t>CV</t>
        </is>
      </c>
      <c r="C70" s="16" t="inlineStr">
        <is>
          <t>幾件、幾週、幾人、幾份文件。至少一個數字。</t>
        </is>
      </c>
    </row>
    <row r="71" ht="67" customHeight="1" s="12">
      <c r="A71" s="16" t="inlineStr">
        <is>
          <t>課堂報告放錯欄位</t>
        </is>
      </c>
      <c r="B71" s="16" t="inlineStr">
        <is>
          <t>CV</t>
        </is>
      </c>
      <c r="C71" s="16" t="inlineStr">
        <is>
          <t>放「課堂重要報告」欄，不要放「學術產出」。</t>
        </is>
      </c>
    </row>
    <row r="72" ht="67" customHeight="1" s="12">
      <c r="A72" s="16" t="inlineStr">
        <is>
          <t>自傳沒有轉折</t>
        </is>
      </c>
      <c r="B72" s="16" t="inlineStr">
        <is>
          <t>自傳</t>
        </is>
      </c>
      <c r="C72" s="16" t="inlineStr">
        <is>
          <t>補「原本以為什麼、後來發現什麼」的那一段。</t>
        </is>
      </c>
    </row>
    <row r="73" ht="67" customHeight="1" s="12">
      <c r="A73" s="16" t="inlineStr">
        <is>
          <t>自傳有家庭背景與人格形容</t>
        </is>
      </c>
      <c r="B73" s="16" t="inlineStr">
        <is>
          <t>自傳</t>
        </is>
      </c>
      <c r="C73" s="16" t="inlineStr">
        <is>
          <t>大幅壓縮或刪掉，把篇幅還給研究動機的形成。</t>
        </is>
      </c>
    </row>
    <row r="74" ht="67" customHeight="1" s="12">
      <c r="A74" s="16" t="inlineStr">
        <is>
          <t>核心科目弱項沒提</t>
        </is>
      </c>
      <c r="B74" s="16" t="inlineStr">
        <is>
          <t>自傳</t>
        </is>
      </c>
      <c r="C74" s="16" t="inlineStr">
        <is>
          <t>主動說明一句，不要等委員自己發現。</t>
        </is>
      </c>
    </row>
    <row r="75" ht="67" customHeight="1" s="12">
      <c r="A75" s="16" t="inlineStr">
        <is>
          <t>研究計畫憑空冒出來</t>
        </is>
      </c>
      <c r="B75" s="16" t="inlineStr">
        <is>
          <t>研究計畫與 CV</t>
        </is>
      </c>
      <c r="C75" s="16" t="inlineStr">
        <is>
          <t>計畫的題目要在 CV 與自傳裡找得到來源。</t>
        </is>
      </c>
    </row>
    <row r="76" ht="67" customHeight="1" s="12">
      <c r="A76" s="16" t="inlineStr">
        <is>
          <t>推薦人資料不足</t>
        </is>
      </c>
      <c r="B76" s="16" t="inlineStr">
        <is>
          <t>推薦人手上的材料</t>
        </is>
      </c>
      <c r="C76" s="16" t="inlineStr">
        <is>
          <t>CV、研究計畫摘要、修過他哪些課與成績、在他課上做過什麼報告。</t>
        </is>
      </c>
    </row>
    <row r="77" ht="42" customHeight="1" s="12">
      <c r="A77" s="14" t="inlineStr">
        <is>
          <t>要寫成完整文字的部分都在另外幾份表，這裡只負責告訴你缺什麼。</t>
        </is>
      </c>
    </row>
    <row r="78" ht="40" customHeight="1" s="12"/>
    <row r="79" ht="24" customHeight="1" s="12">
      <c r="A79" s="2" t="inlineStr">
        <is>
          <t>卡關時</t>
        </is>
      </c>
    </row>
    <row r="80" ht="26" customHeight="1" s="12">
      <c r="A80" s="18" t="inlineStr">
        <is>
          <t>狀況</t>
        </is>
      </c>
      <c r="B80" s="18" t="inlineStr">
        <is>
          <t>怎麼辦</t>
        </is>
      </c>
    </row>
    <row r="81" ht="91" customHeight="1" s="12">
      <c r="A81" s="16" t="inlineStr">
        <is>
          <t>純學術資歷很少，只有法服、旁聽和實習，會不會很弱</t>
        </is>
      </c>
      <c r="B81" s="16" t="inlineStr">
        <is>
          <t>不一定，關鍵在你有沒有把這些經歷轉譯成能力證據。寫出處理過哪一類型案件、大約幾件、在哪個環節反覆看到規範與實務的落差、因此開始追問什麼問題，就變成了發現問題與法理推導能力的具體證據。</t>
        </is>
      </c>
    </row>
    <row r="82" ht="69" customHeight="1" s="12">
      <c r="A82" s="16" t="inlineStr">
        <is>
          <t>自傳要不要寫家庭背景和成長歷程？</t>
        </is>
      </c>
      <c r="B82" s="16" t="inlineStr">
        <is>
          <t>除非它直接構成你的研究動機，而且你能具體說明，否則建議大幅壓縮或不寫。法政自傳的任務是說明研究動機的形成軌跡，不是人生回顧。</t>
        </is>
      </c>
    </row>
    <row r="83" ht="114" customHeight="1" s="12">
      <c r="A83" s="16" t="inlineStr">
        <is>
          <t>推薦信要找誰寫，什麼時候開口</t>
        </is>
      </c>
      <c r="B83" s="16" t="inlineStr">
        <is>
          <t>找認識你學術表現的老師，而不是職稱最高的老師。一封由修過你兩門課、看過你報告的助理教授寫的具體推薦信，遠勝於一封由不熟悉你的資深教授寫的泛泛推薦。時間點建議在暑假就開口，最遲不要拖到送件前一個月。</t>
        </is>
      </c>
    </row>
    <row r="84" ht="69" customHeight="1" s="12">
      <c r="A84" s="16" t="inlineStr">
        <is>
          <t>經歷很多但排不出軌跡</t>
        </is>
      </c>
      <c r="B84" s="16" t="inlineStr">
        <is>
          <t>回經歷盤點最後一欄，先決定每一段要放進 CV、自傳還是都不放。決定不了的，通常就是「與研究方向的關聯」那一欄空著的那幾段。</t>
        </is>
      </c>
    </row>
    <row r="85" ht="46" customHeight="1" s="12">
      <c r="A85" s="16" t="inlineStr">
        <is>
          <t>核心科目成績不好</t>
        </is>
      </c>
      <c r="B85" s="16" t="inlineStr">
        <is>
          <t>主動說明一句就好，不需要長篇解釋。完全不提，是讓委員自己去發現，那更糟。</t>
        </is>
      </c>
    </row>
    <row r="86" ht="48" customHeight="1" s="12">
      <c r="A86" s="16" t="inlineStr">
        <is>
          <t>兩次打出來的數字一樣</t>
        </is>
      </c>
      <c r="B86" s="16" t="inlineStr">
        <is>
          <t>檢查一下是不是這段時間都在寫內容、沒有回頭處理缺口。內容寫得再多，缺的那幾項還是缺。</t>
        </is>
      </c>
    </row>
    <row r="87" ht="40" customHeight="1" s="12"/>
    <row r="88" ht="14" customHeight="1" s="12">
      <c r="A88" s="7" t="n"/>
      <c r="B88" s="7" t="n"/>
      <c r="C88" s="7" t="n"/>
      <c r="D88" s="7" t="n"/>
      <c r="E88" s="7" t="n"/>
      <c r="F88" s="7" t="n"/>
    </row>
    <row r="89" ht="28" customHeight="1" s="12">
      <c r="A89" s="8" t="inlineStr">
        <is>
          <t># 搭配文章：法政備審怎麼準備？CV、自傳與研究計畫的分工　https://tbd-edu.com/pages/resources/law-graduate-cv.html</t>
        </is>
      </c>
    </row>
    <row r="90" ht="28" customHeight="1" s="12">
      <c r="A90" s="8" t="inlineStr">
        <is>
          <t># TBD Studio ｜ https://tbd-edu.com/</t>
        </is>
      </c>
    </row>
  </sheetData>
  <mergeCells count="12">
    <mergeCell ref="A24:F24"/>
    <mergeCell ref="A2:F2"/>
    <mergeCell ref="A11:F11"/>
    <mergeCell ref="A27:F27"/>
    <mergeCell ref="A17:F17"/>
    <mergeCell ref="A18:F18"/>
    <mergeCell ref="A56:F56"/>
    <mergeCell ref="A12:F12"/>
    <mergeCell ref="A21:F21"/>
    <mergeCell ref="A77:F77"/>
    <mergeCell ref="A55:F55"/>
    <mergeCell ref="A57:F5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zoomScale="75" workbookViewId="0">
      <pane ySplit="2" topLeftCell="A3" activePane="bottomLeft" state="frozen"/>
      <selection pane="bottomLeft" activeCell="E8" sqref="E8"/>
    </sheetView>
  </sheetViews>
  <sheetFormatPr baseColWidth="10" defaultColWidth="9" defaultRowHeight="14"/>
  <cols>
    <col width="35.19921875" customWidth="1" style="12" min="1" max="1"/>
    <col width="22.3984375" customWidth="1" style="12" min="2" max="2"/>
    <col width="44.796875" customWidth="1" style="12" min="3" max="3"/>
    <col width="35.19921875" customWidth="1" style="12" min="4" max="4"/>
    <col width="41.59765625" customWidth="1" style="12" min="5" max="5"/>
    <col width="38.3984375" customWidth="1" style="12" min="6" max="6"/>
    <col width="32" customWidth="1" style="12" min="7" max="7"/>
  </cols>
  <sheetData>
    <row r="1" ht="30" customHeight="1" s="12">
      <c r="A1" s="1" t="inlineStr">
        <is>
          <t>法政｜備審檢核表　v1</t>
        </is>
      </c>
    </row>
    <row r="2" ht="28" customHeight="1" s="12">
      <c r="A2" s="19" t="inlineStr">
        <is>
          <t>唯一要寫字的地方，而且只寫關鍵字。先全部倒出來再刪。淡黃色的儲存格是要你填或勾的，其餘是給你讀的。</t>
        </is>
      </c>
    </row>
    <row r="3" ht="40" customHeight="1" s="12"/>
    <row r="4" ht="24" customHeight="1" s="12">
      <c r="A4" s="2" t="inlineStr">
        <is>
          <t>一、經歷盤點</t>
        </is>
      </c>
    </row>
    <row r="5" ht="32" customHeight="1" s="12">
      <c r="A5" s="21" t="inlineStr">
        <is>
          <t>空著的欄位代表這段經歷還沒被你轉譯成能力證據。</t>
        </is>
      </c>
    </row>
    <row r="6" ht="40" customHeight="1" s="12"/>
    <row r="7" ht="26" customHeight="1" s="12">
      <c r="A7" s="18" t="inlineStr">
        <is>
          <t>經歷</t>
        </is>
      </c>
      <c r="B7" s="18" t="inlineStr">
        <is>
          <t>時間</t>
        </is>
      </c>
      <c r="C7" s="18" t="inlineStr">
        <is>
          <t>我實際做了什麼</t>
        </is>
      </c>
      <c r="D7" s="18" t="inlineStr">
        <is>
          <t>用到什麼能力</t>
        </is>
      </c>
      <c r="E7" s="18" t="inlineStr">
        <is>
          <t>與研究方向的關聯</t>
        </is>
      </c>
      <c r="F7" s="18" t="inlineStr">
        <is>
          <t>留下什麼可查證的產出</t>
        </is>
      </c>
      <c r="G7" s="18" t="inlineStr">
        <is>
          <t>要放進哪裡</t>
        </is>
      </c>
    </row>
    <row r="8" ht="61" customHeight="1" s="12">
      <c r="A8" s="9" t="n"/>
      <c r="B8" s="9" t="n"/>
      <c r="C8" s="9" t="n"/>
      <c r="D8" s="9" t="n"/>
      <c r="E8" s="9" t="n"/>
      <c r="F8" s="9" t="n"/>
      <c r="G8" s="9" t="n"/>
    </row>
    <row r="9" ht="61" customHeight="1" s="12">
      <c r="A9" s="9" t="n"/>
      <c r="B9" s="9" t="n"/>
      <c r="C9" s="9" t="n"/>
      <c r="D9" s="9" t="n"/>
      <c r="E9" s="9" t="n"/>
      <c r="F9" s="9" t="n"/>
      <c r="G9" s="9" t="n"/>
    </row>
    <row r="10" ht="61" customHeight="1" s="12">
      <c r="A10" s="9" t="n"/>
      <c r="B10" s="9" t="n"/>
      <c r="C10" s="9" t="n"/>
      <c r="D10" s="9" t="n"/>
      <c r="E10" s="9" t="n"/>
      <c r="F10" s="9" t="n"/>
      <c r="G10" s="9" t="n"/>
    </row>
    <row r="11" ht="61" customHeight="1" s="12">
      <c r="A11" s="9" t="n"/>
      <c r="B11" s="9" t="n"/>
      <c r="C11" s="9" t="n"/>
      <c r="D11" s="9" t="n"/>
      <c r="E11" s="9" t="n"/>
      <c r="F11" s="9" t="n"/>
      <c r="G11" s="9" t="n"/>
    </row>
    <row r="12" ht="61" customHeight="1" s="12">
      <c r="A12" s="9" t="n"/>
      <c r="B12" s="9" t="n"/>
      <c r="C12" s="9" t="n"/>
      <c r="D12" s="9" t="n"/>
      <c r="E12" s="9" t="n"/>
      <c r="F12" s="9" t="n"/>
      <c r="G12" s="9" t="n"/>
    </row>
    <row r="13" ht="61" customHeight="1" s="12">
      <c r="A13" s="9" t="n"/>
      <c r="B13" s="9" t="n"/>
      <c r="C13" s="9" t="n"/>
      <c r="D13" s="9" t="n"/>
      <c r="E13" s="9" t="n"/>
      <c r="F13" s="9" t="n"/>
      <c r="G13" s="9" t="n"/>
    </row>
    <row r="14" ht="61" customHeight="1" s="12">
      <c r="A14" s="9" t="n"/>
      <c r="B14" s="9" t="n"/>
      <c r="C14" s="9" t="n"/>
      <c r="D14" s="9" t="n"/>
      <c r="E14" s="9" t="n"/>
      <c r="F14" s="9" t="n"/>
      <c r="G14" s="9" t="n"/>
    </row>
    <row r="15" ht="61" customHeight="1" s="12">
      <c r="A15" s="9" t="n"/>
      <c r="B15" s="9" t="n"/>
      <c r="C15" s="9" t="n"/>
      <c r="D15" s="9" t="n"/>
      <c r="E15" s="9" t="n"/>
      <c r="F15" s="9" t="n"/>
      <c r="G15" s="9" t="n"/>
    </row>
    <row r="16" ht="61" customHeight="1" s="12">
      <c r="A16" s="9" t="n"/>
      <c r="B16" s="9" t="n"/>
      <c r="C16" s="9" t="n"/>
      <c r="D16" s="9" t="n"/>
      <c r="E16" s="9" t="n"/>
      <c r="F16" s="9" t="n"/>
      <c r="G16" s="9" t="n"/>
    </row>
    <row r="17" ht="61" customHeight="1" s="12">
      <c r="A17" s="9" t="n"/>
      <c r="B17" s="9" t="n"/>
      <c r="C17" s="9" t="n"/>
      <c r="D17" s="9" t="n"/>
      <c r="E17" s="9" t="n"/>
      <c r="F17" s="9" t="n"/>
      <c r="G17" s="9" t="n"/>
    </row>
    <row r="18" ht="40" customHeight="1" s="12"/>
    <row r="19" ht="25" customHeight="1" s="12">
      <c r="A19" s="14" t="inlineStr">
        <is>
          <t>第五欄空著的那幾段，通常就是「都不放」的那幾段。不是不能放，而是要放在次要位置，別讓它稀釋主線。</t>
        </is>
      </c>
    </row>
    <row r="20" ht="25" customHeight="1" s="12">
      <c r="A20" s="14" t="inlineStr">
        <is>
          <t>最後一欄有下拉選單。決定不了的先留白，回檢核表第 1 區看有沒有漏掉哪一類經歷。</t>
        </is>
      </c>
    </row>
    <row r="21" ht="25" customHeight="1" s="12">
      <c r="A21" s="14" t="n"/>
    </row>
    <row r="22" ht="42" customHeight="1" s="12">
      <c r="A22" s="14" t="inlineStr">
        <is>
          <t>填完切到「檢核表」分頁。</t>
        </is>
      </c>
    </row>
    <row r="23" ht="14" customHeight="1" s="12"/>
    <row r="24" ht="28" customHeight="1" s="12">
      <c r="A24" s="8" t="inlineStr">
        <is>
          <t># 搭配文章：法政備審怎麼準備？CV、自傳與研究計畫的分工　https://tbd-edu.com/pages/resources/law-graduate-cv.html</t>
        </is>
      </c>
    </row>
    <row r="25" ht="28" customHeight="1" s="12">
      <c r="A25" s="8" t="inlineStr">
        <is>
          <t># TBD Studio ｜ https://tbd-edu.com/</t>
        </is>
      </c>
    </row>
  </sheetData>
  <mergeCells count="5">
    <mergeCell ref="A22:G22"/>
    <mergeCell ref="A20:G20"/>
    <mergeCell ref="A2:G2"/>
    <mergeCell ref="A19:G19"/>
    <mergeCell ref="A5:G5"/>
  </mergeCells>
  <dataValidations count="1">
    <dataValidation sqref="G8:G17" showDropDown="0" showInputMessage="0" showErrorMessage="0" allowBlank="0" type="list">
      <formula1>"CV,自傳,兩者都放,都不放"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"/>
  <sheetViews>
    <sheetView showGridLines="0" zoomScale="75" workbookViewId="0">
      <pane ySplit="2" topLeftCell="A90" activePane="bottomLeft" state="frozen"/>
      <selection pane="bottomLeft" activeCell="A95" activeCellId="4" sqref="A17:XFD17 A34:XFD34 A46:XFD46 A59:XFD59 A95:XFD95"/>
    </sheetView>
  </sheetViews>
  <sheetFormatPr baseColWidth="10" defaultColWidth="9" defaultRowHeight="14"/>
  <cols>
    <col width="39.59765625" customWidth="1" style="12" min="1" max="1"/>
    <col width="32" customWidth="1" style="12" min="2" max="2"/>
    <col width="18.19921875" customWidth="1" style="12" min="3" max="3"/>
    <col width="70" customWidth="1" style="12" min="4" max="4"/>
    <col width="12" customWidth="1" style="12" min="5" max="6"/>
  </cols>
  <sheetData>
    <row r="1" ht="30" customHeight="1" s="12">
      <c r="A1" s="1" t="inlineStr">
        <is>
          <t>法政｜備審檢核表　v1</t>
        </is>
      </c>
    </row>
    <row r="2" ht="28" customHeight="1" s="12">
      <c r="A2" s="19" t="inlineStr">
        <is>
          <t>8 區共 60 項。舉得出具體例子才打 ✓，「應該有吧」留白。判準見「先讀這裡」分頁。淡黃色的儲存格是要你填或勾的，其餘是給你讀的。</t>
        </is>
      </c>
    </row>
    <row r="3" ht="40" customHeight="1" s="12"/>
    <row r="4" ht="24" customHeight="1" s="12">
      <c r="A4" s="2" t="inlineStr">
        <is>
          <t>第 1 區　容易漏掉的法政經歷（11 項　✓ 代表我盤點過這一類）</t>
        </is>
      </c>
    </row>
    <row r="5" ht="26" customHeight="1" s="12">
      <c r="A5" s="18" t="inlineStr">
        <is>
          <t>檢核項目</t>
        </is>
      </c>
      <c r="B5" s="17" t="n"/>
      <c r="C5" s="18" t="inlineStr">
        <is>
          <t>確認</t>
        </is>
      </c>
      <c r="D5" s="18" t="inlineStr">
        <is>
          <t>沒打勾的話，下一步</t>
        </is>
      </c>
    </row>
    <row r="6" ht="55" customHeight="1" s="12">
      <c r="A6" s="16" t="inlineStr">
        <is>
          <t>課堂研究報告與期末論文</t>
        </is>
      </c>
      <c r="B6" s="17" t="n"/>
      <c r="C6" s="9" t="n"/>
      <c r="D6" s="16" t="inlineStr">
        <is>
          <t>尤其是被老師肯定的那幾份。這一類最常被自己看輕。</t>
        </is>
      </c>
    </row>
    <row r="7" ht="55" customHeight="1" s="12">
      <c r="A7" s="16" t="inlineStr">
        <is>
          <t>小論文、期刊投稿、學生學術研討會發表</t>
        </is>
      </c>
      <c r="B7" s="17" t="n"/>
      <c r="C7" s="9" t="n"/>
      <c r="D7" s="16" t="inlineStr">
        <is>
          <t>有投稿紀錄就算，不必已經刊出。</t>
        </is>
      </c>
    </row>
    <row r="8" ht="55" customHeight="1" s="12">
      <c r="A8" s="16" t="inlineStr">
        <is>
          <t>大專學生研究計畫（國科會）</t>
        </is>
      </c>
      <c r="B8" s="17" t="n"/>
      <c r="C8" s="9" t="n"/>
      <c r="D8" s="16" t="inlineStr">
        <is>
          <t>名稱、年度、你的角色。</t>
        </is>
      </c>
    </row>
    <row r="9" ht="55" customHeight="1" s="12">
      <c r="A9" s="16" t="inlineStr">
        <is>
          <t>法律扶助、法服社、法律諮詢志工</t>
        </is>
      </c>
      <c r="B9" s="17" t="n"/>
      <c r="C9" s="9" t="n"/>
      <c r="D9" s="16" t="inlineStr">
        <is>
          <t>重點不是參加過，是處理過哪一類型案件。</t>
        </is>
      </c>
    </row>
    <row r="10" ht="55" customHeight="1" s="12">
      <c r="A10" s="16" t="inlineStr">
        <is>
          <t>法院旁聽與判決評析</t>
        </is>
      </c>
      <c r="B10" s="17" t="n"/>
      <c r="C10" s="9" t="n"/>
      <c r="D10" s="16" t="inlineStr">
        <is>
          <t>旁聽過哪一類案件、寫過哪些評析。</t>
        </is>
      </c>
    </row>
    <row r="11" ht="55" customHeight="1" s="12">
      <c r="A11" s="16" t="inlineStr">
        <is>
          <t>模擬法庭、辯論比賽、模擬聯合國</t>
        </is>
      </c>
      <c r="B11" s="17" t="n"/>
      <c r="C11" s="9" t="n"/>
      <c r="D11" s="16" t="inlineStr">
        <is>
          <t>層級與名次要寫出來。</t>
        </is>
      </c>
    </row>
    <row r="12" ht="55" customHeight="1" s="12">
      <c r="A12" s="16" t="inlineStr">
        <is>
          <t>國會助理、議員辦公室、政黨或智庫實習</t>
        </is>
      </c>
      <c r="B12" s="17" t="n"/>
      <c r="C12" s="9" t="n"/>
      <c r="D12" s="16" t="inlineStr">
        <is>
          <t>職務與實際工作，不是單位名稱。</t>
        </is>
      </c>
    </row>
    <row r="13" ht="55" customHeight="1" s="12">
      <c r="A13" s="16" t="inlineStr">
        <is>
          <t>公民團體倡議、社會運動參與、公共政策提案</t>
        </is>
      </c>
      <c r="B13" s="17" t="n"/>
      <c r="C13" s="9" t="n"/>
      <c r="D13" s="16" t="inlineStr">
        <is>
          <t>你負責哪一段、產出了什麼。</t>
        </is>
      </c>
    </row>
    <row r="14" ht="55" customHeight="1" s="12">
      <c r="A14" s="16" t="inlineStr">
        <is>
          <t>政府機關實習、公部門工讀</t>
        </is>
      </c>
      <c r="B14" s="17" t="n"/>
      <c r="C14" s="9" t="n"/>
      <c r="D14" s="16" t="inlineStr">
        <is>
          <t>處理過什麼類型的案件或政策議題。</t>
        </is>
      </c>
    </row>
    <row r="15" ht="55" customHeight="1" s="12">
      <c r="A15" s="16" t="inlineStr">
        <is>
          <t>研究助理（協助教授計畫）</t>
        </is>
      </c>
      <c r="B15" s="17" t="n"/>
      <c r="C15" s="9" t="n"/>
      <c r="D15" s="16" t="inlineStr">
        <is>
          <t>計畫名稱、你負責的方法與工作。</t>
        </is>
      </c>
    </row>
    <row r="16" ht="55" customHeight="1" s="12">
      <c r="A16" s="16" t="inlineStr">
        <is>
          <t>相關證照、語言能力、統計或資料分析訓練</t>
        </is>
      </c>
      <c r="B16" s="17" t="n"/>
      <c r="C16" s="9" t="n"/>
      <c r="D16" s="16" t="inlineStr">
        <is>
          <t>法政的資料能力常被漏掉，有就寫。</t>
        </is>
      </c>
    </row>
    <row r="17" ht="42" customHeight="1" s="12">
      <c r="A17" s="14" t="inlineStr">
        <is>
          <t>先全部倒出來再刪。這十一類逐類想過一遍，通常會多出兩三段你原本忘了的經歷。</t>
        </is>
      </c>
    </row>
    <row r="18" ht="40" customHeight="1" s="12"/>
    <row r="19" ht="24" customHeight="1" s="12">
      <c r="A19" s="2" t="inlineStr">
        <is>
          <t>第 2 區　學術 CV 十二欄位（12 項）</t>
        </is>
      </c>
    </row>
    <row r="20" ht="26" customHeight="1" s="12">
      <c r="A20" s="18" t="inlineStr">
        <is>
          <t>檢核項目</t>
        </is>
      </c>
      <c r="B20" s="17" t="n"/>
      <c r="C20" s="18" t="inlineStr">
        <is>
          <t>確認</t>
        </is>
      </c>
      <c r="D20" s="18" t="inlineStr">
        <is>
          <t>沒打勾的話，下一步</t>
        </is>
      </c>
    </row>
    <row r="21" ht="55" customHeight="1" s="12">
      <c r="A21" s="16" t="inlineStr">
        <is>
          <t>1 基本資料</t>
        </is>
      </c>
      <c r="B21" s="17" t="n"/>
      <c r="C21" s="9" t="n"/>
      <c r="D21" s="16" t="inlineStr">
        <is>
          <t>姓名、聯絡方式，一行。不要放身分證字號。</t>
        </is>
      </c>
    </row>
    <row r="22" ht="55" customHeight="1" s="12">
      <c r="A22" s="16" t="inlineStr">
        <is>
          <t>2 學歷</t>
        </is>
      </c>
      <c r="B22" s="17" t="n"/>
      <c r="C22" s="9" t="n"/>
      <c r="D22" s="16" t="inlineStr">
        <is>
          <t>校系、期間、在校排名或 GPA。有優勢才寫。</t>
        </is>
      </c>
    </row>
    <row r="23" ht="55" customHeight="1" s="12">
      <c r="A23" s="16" t="inlineStr">
        <is>
          <t>3 研究興趣</t>
        </is>
      </c>
      <c r="B23" s="17" t="n"/>
      <c r="C23" s="9" t="n"/>
      <c r="D23" s="16" t="inlineStr">
        <is>
          <t>一到兩行，與研究計畫方向一致。</t>
        </is>
      </c>
    </row>
    <row r="24" ht="55" customHeight="1" s="12">
      <c r="A24" s="16" t="inlineStr">
        <is>
          <t>4 法政核心科目表現</t>
        </is>
      </c>
      <c r="B24" s="17" t="n"/>
      <c r="C24" s="9" t="n"/>
      <c r="D24" s="16" t="inlineStr">
        <is>
          <t>憲法、行政法、民法、刑法、政治學、國際關係、公共政策等，具體科目與成績。</t>
        </is>
      </c>
    </row>
    <row r="25" ht="55" customHeight="1" s="12">
      <c r="A25" s="16" t="inlineStr">
        <is>
          <t>5 研究經歷</t>
        </is>
      </c>
      <c r="B25" s="17" t="n"/>
      <c r="C25" s="9" t="n"/>
      <c r="D25" s="16" t="inlineStr">
        <is>
          <t>大專生計畫、研究助理、專題，寫清楚角色與方法。</t>
        </is>
      </c>
    </row>
    <row r="26" ht="55" customHeight="1" s="12">
      <c r="A26" s="16" t="inlineStr">
        <is>
          <t>6 學術產出</t>
        </is>
      </c>
      <c r="B26" s="17" t="n"/>
      <c r="C26" s="9" t="n"/>
      <c r="D26" s="16" t="inlineStr">
        <is>
          <t>小論文、研討會發表、投稿，附完整標題。</t>
        </is>
      </c>
    </row>
    <row r="27" ht="55" customHeight="1" s="12">
      <c r="A27" s="16" t="inlineStr">
        <is>
          <t>7 課堂重要報告</t>
        </is>
      </c>
      <c r="B27" s="17" t="n"/>
      <c r="C27" s="9" t="n"/>
      <c r="D27" s="16" t="inlineStr">
        <is>
          <t>挑二到三份與方向相關的，寫題目與處理的爭點。</t>
        </is>
      </c>
    </row>
    <row r="28" ht="55" customHeight="1" s="12">
      <c r="A28" s="16" t="inlineStr">
        <is>
          <t>8 實務經歷</t>
        </is>
      </c>
      <c r="B28" s="17" t="n"/>
      <c r="C28" s="9" t="n"/>
      <c r="D28" s="16" t="inlineStr">
        <is>
          <t>實習、法服、旁聽、國會、倡議，寫職務與實際工作。</t>
        </is>
      </c>
    </row>
    <row r="29" ht="55" customHeight="1" s="12">
      <c r="A29" s="16" t="inlineStr">
        <is>
          <t>9 競賽與活動</t>
        </is>
      </c>
      <c r="B29" s="17" t="n"/>
      <c r="C29" s="9" t="n"/>
      <c r="D29" s="16" t="inlineStr">
        <is>
          <t>模擬法庭、辯論、模擬聯合國等，寫層級與名次。</t>
        </is>
      </c>
    </row>
    <row r="30" ht="55" customHeight="1" s="12">
      <c r="A30" s="16" t="inlineStr">
        <is>
          <t>10 語言與方法能力</t>
        </is>
      </c>
      <c r="B30" s="17" t="n"/>
      <c r="C30" s="9" t="n"/>
      <c r="D30" s="16" t="inlineStr">
        <is>
          <t>外語程度、統計軟體、資料庫檢索能力。</t>
        </is>
      </c>
    </row>
    <row r="31" ht="55" customHeight="1" s="12">
      <c r="A31" s="16" t="inlineStr">
        <is>
          <t>11 獎項與獎學金</t>
        </is>
      </c>
      <c r="B31" s="17" t="n"/>
      <c r="C31" s="9" t="n"/>
      <c r="D31" s="16" t="inlineStr">
        <is>
          <t>名稱、頒發單位、年份。</t>
        </is>
      </c>
    </row>
    <row r="32" ht="55" customHeight="1" s="12">
      <c r="A32" s="16" t="inlineStr">
        <is>
          <t>12 附件索引</t>
        </is>
      </c>
      <c r="B32" s="17" t="n"/>
      <c r="C32" s="9" t="n"/>
      <c r="D32" s="16" t="inlineStr">
        <is>
          <t>代表作清單與對應頁碼。</t>
        </is>
      </c>
    </row>
    <row r="33" ht="42" customHeight="1" s="12">
      <c r="A33" s="14" t="inlineStr">
        <is>
          <t>CV 的任務只有一個：證明你做過什麼。條列、可查證、不寫感想。</t>
        </is>
      </c>
    </row>
    <row r="34" ht="40" customHeight="1" s="12"/>
    <row r="35" ht="24" customHeight="1" s="12">
      <c r="A35" s="2" t="inlineStr">
        <is>
          <t>第 3 區　每段經歷該寫出的七件事（7 項）</t>
        </is>
      </c>
    </row>
    <row r="36" ht="26" customHeight="1" s="12">
      <c r="A36" s="18" t="inlineStr">
        <is>
          <t>檢核項目</t>
        </is>
      </c>
      <c r="B36" s="17" t="n"/>
      <c r="C36" s="18" t="inlineStr">
        <is>
          <t>確認</t>
        </is>
      </c>
      <c r="D36" s="18" t="inlineStr">
        <is>
          <t>沒打勾的話，下一步</t>
        </is>
      </c>
    </row>
    <row r="37" ht="55" customHeight="1" s="12">
      <c r="A37" s="16" t="inlineStr">
        <is>
          <t>我在什麼脈絡下做這件事</t>
        </is>
      </c>
      <c r="B37" s="17" t="n"/>
      <c r="C37" s="9" t="n"/>
      <c r="D37" s="16" t="inlineStr">
        <is>
          <t>單位、時機、為什麼是你。</t>
        </is>
      </c>
    </row>
    <row r="38" ht="55" customHeight="1" s="12">
      <c r="A38" s="16" t="inlineStr">
        <is>
          <t>我的角色與職責</t>
        </is>
      </c>
      <c r="B38" s="17" t="n"/>
      <c r="C38" s="9" t="n"/>
      <c r="D38" s="16" t="inlineStr">
        <is>
          <t>不是團隊做了什麼，是我做了什麼。</t>
        </is>
      </c>
    </row>
    <row r="39" ht="55" customHeight="1" s="12">
      <c r="A39" s="16" t="inlineStr">
        <is>
          <t>具體處理的爭點、案件類型或政策議題</t>
        </is>
      </c>
      <c r="B39" s="17" t="n"/>
      <c r="C39" s="9" t="n"/>
      <c r="D39" s="16" t="inlineStr">
        <is>
          <t>這一項空著，整段就只剩單位名稱。</t>
        </is>
      </c>
    </row>
    <row r="40" ht="55" customHeight="1" s="12">
      <c r="A40" s="16" t="inlineStr">
        <is>
          <t>使用的方法或工具</t>
        </is>
      </c>
      <c r="B40" s="17" t="n"/>
      <c r="C40" s="9" t="n"/>
      <c r="D40" s="16" t="inlineStr">
        <is>
          <t>檢索、訪談、比較法、統計、田野。</t>
        </is>
      </c>
    </row>
    <row r="41" ht="55" customHeight="1" s="12">
      <c r="A41" s="16" t="inlineStr">
        <is>
          <t>可量化的規模</t>
        </is>
      </c>
      <c r="B41" s="17" t="n"/>
      <c r="C41" s="9" t="n"/>
      <c r="D41" s="16" t="inlineStr">
        <is>
          <t>幾件、幾週、幾人、幾份文件。至少一個數字。</t>
        </is>
      </c>
    </row>
    <row r="42" ht="55" customHeight="1" s="12">
      <c r="A42" s="16" t="inlineStr">
        <is>
          <t>產出了什麼</t>
        </is>
      </c>
      <c r="B42" s="17" t="n"/>
      <c r="C42" s="9" t="n"/>
      <c r="D42" s="16" t="inlineStr">
        <is>
          <t>報告、備忘錄、分析、提案。</t>
        </is>
      </c>
    </row>
    <row r="43" ht="55" customHeight="1" s="12">
      <c r="A43" s="16" t="inlineStr">
        <is>
          <t>這段經歷讓我看見什麼問題</t>
        </is>
      </c>
      <c r="B43" s="17" t="n"/>
      <c r="C43" s="9" t="n"/>
      <c r="D43" s="16" t="inlineStr">
        <is>
          <t>這一句是通往研究動機的橋。缺了它，經歷就接不到自傳。</t>
        </is>
      </c>
    </row>
    <row r="44" ht="42" customHeight="1" s="12">
      <c r="A44" s="14" t="inlineStr">
        <is>
          <t>缺三項以上，這段經歷等於沒寫。</t>
        </is>
      </c>
    </row>
    <row r="45" ht="40" customHeight="1" s="12"/>
    <row r="46" ht="24" customHeight="1" s="12">
      <c r="A46" s="2" t="inlineStr">
        <is>
          <t>第 4 區　自傳（8 項　後四項的 ✓ 代表我已經刪掉或壓縮）</t>
        </is>
      </c>
    </row>
    <row r="47" ht="26" customHeight="1" s="12">
      <c r="A47" s="18" t="inlineStr">
        <is>
          <t>檢核項目</t>
        </is>
      </c>
      <c r="B47" s="17" t="n"/>
      <c r="C47" s="18" t="inlineStr">
        <is>
          <t>確認</t>
        </is>
      </c>
      <c r="D47" s="18" t="inlineStr">
        <is>
          <t>沒打勾的話，下一步</t>
        </is>
      </c>
    </row>
    <row r="48" ht="55" customHeight="1" s="12">
      <c r="A48" s="16" t="inlineStr">
        <is>
          <t>研究興趣如何形成</t>
        </is>
      </c>
      <c r="B48" s="17" t="n"/>
      <c r="C48" s="9" t="n"/>
      <c r="D48" s="16" t="inlineStr">
        <is>
          <t>哪一堂課、哪一個案件、哪一次現場經驗讓你開始追問。</t>
        </is>
      </c>
    </row>
    <row r="49" ht="55" customHeight="1" s="12">
      <c r="A49" s="16" t="inlineStr">
        <is>
          <t>轉折點</t>
        </is>
      </c>
      <c r="B49" s="17" t="n"/>
      <c r="C49" s="9" t="n"/>
      <c r="D49" s="16" t="inlineStr">
        <is>
          <t>誠實寫出「原本以為什麼、後來發現什麼」的過程。</t>
        </is>
      </c>
    </row>
    <row r="50" ht="55" customHeight="1" s="12">
      <c r="A50" s="16" t="inlineStr">
        <is>
          <t>能力累積</t>
        </is>
      </c>
      <c r="B50" s="17" t="n"/>
      <c r="C50" s="9" t="n"/>
      <c r="D50" s="16" t="inlineStr">
        <is>
          <t>你怎麼一步步取得處理這個問題所需的訓練：修課、方法、語言、實務。</t>
        </is>
      </c>
    </row>
    <row r="51" ht="55" customHeight="1" s="12">
      <c r="A51" s="16" t="inlineStr">
        <is>
          <t>為什麼要繼續讀</t>
        </is>
      </c>
      <c r="B51" s="17" t="n"/>
      <c r="C51" s="9" t="n"/>
      <c r="D51" s="16" t="inlineStr">
        <is>
          <t>為什麼這個問題必須在研究所裡處理，而不是工作中處理。</t>
        </is>
      </c>
    </row>
    <row r="52" ht="55" customHeight="1" s="12">
      <c r="A52" s="16" t="inlineStr">
        <is>
          <t>家庭背景（該刪或壓縮）</t>
        </is>
      </c>
      <c r="B52" s="17" t="n"/>
      <c r="C52" s="9" t="n"/>
      <c r="D52" s="16" t="inlineStr">
        <is>
          <t>除非它直接構成研究動機，而且能被具體說明。</t>
        </is>
      </c>
    </row>
    <row r="53" ht="55" customHeight="1" s="12">
      <c r="A53" s="16" t="inlineStr">
        <is>
          <t>與研究方向無關的社團與課外活動（該刪）</t>
        </is>
      </c>
      <c r="B53" s="17" t="n"/>
      <c r="C53" s="9" t="n"/>
      <c r="D53" s="16" t="inlineStr">
        <is>
          <t>刪掉。篇幅要還給研究動機的形成。</t>
        </is>
      </c>
    </row>
    <row r="54" ht="55" customHeight="1" s="12">
      <c r="A54" s="16" t="inlineStr">
        <is>
          <t>空泛的人格特質形容（該刪）</t>
        </is>
      </c>
      <c r="B54" s="17" t="n"/>
      <c r="C54" s="9" t="n"/>
      <c r="D54" s="16" t="inlineStr">
        <is>
          <t>積極、負責、抗壓性強。這些話任何人都能寫。</t>
        </is>
      </c>
    </row>
    <row r="55" ht="55" customHeight="1" s="12">
      <c r="A55" s="16" t="inlineStr">
        <is>
          <t>已經在 CV 條列過的事實清單（該刪）</t>
        </is>
      </c>
      <c r="B55" s="17" t="n"/>
      <c r="C55" s="9" t="n"/>
      <c r="D55" s="16" t="inlineStr">
        <is>
          <t>自傳重複列一次是浪費篇幅。</t>
        </is>
      </c>
    </row>
    <row r="56" ht="42" customHeight="1" s="12">
      <c r="A56" s="14" t="inlineStr">
        <is>
          <t>自傳的任務是研究動機的形成軌跡，不是人生回顧。</t>
        </is>
      </c>
    </row>
    <row r="57" ht="40" customHeight="1" s="12"/>
    <row r="58" ht="24" customHeight="1" s="12">
      <c r="A58" s="2" t="inlineStr">
        <is>
          <t>第 5 區　文件一致性（5 項）</t>
        </is>
      </c>
    </row>
    <row r="59" ht="26" customHeight="1" s="12">
      <c r="A59" s="18" t="inlineStr">
        <is>
          <t>檢核項目</t>
        </is>
      </c>
      <c r="B59" s="17" t="n"/>
      <c r="C59" s="18" t="inlineStr">
        <is>
          <t>確認</t>
        </is>
      </c>
      <c r="D59" s="18" t="inlineStr">
        <is>
          <t>沒打勾的話，下一步</t>
        </is>
      </c>
    </row>
    <row r="60" ht="55" customHeight="1" s="12">
      <c r="A60" s="16" t="inlineStr">
        <is>
          <t>三份文件指向同一個研究方向，沒有互相矛盾</t>
        </is>
      </c>
      <c r="B60" s="17" t="n"/>
      <c r="C60" s="9" t="n"/>
      <c r="D60" s="16" t="inlineStr">
        <is>
          <t>CV 是過去、自傳是過去到現在、研究計畫是未來。時態要分清楚。</t>
        </is>
      </c>
    </row>
    <row r="61" ht="55" customHeight="1" s="12">
      <c r="A61" s="16" t="inlineStr">
        <is>
          <t>同一件事沒有在三份文件裡各講一次</t>
        </is>
      </c>
      <c r="B61" s="17" t="n"/>
      <c r="C61" s="9" t="n"/>
      <c r="D61" s="16" t="inlineStr">
        <is>
          <t>可以呼應，但角度要不同。</t>
        </is>
      </c>
    </row>
    <row r="62" ht="55" customHeight="1" s="12">
      <c r="A62" s="16" t="inlineStr">
        <is>
          <t>研究計畫的題目，在 CV 與自傳裡找得到來源</t>
        </is>
      </c>
      <c r="B62" s="17" t="n"/>
      <c r="C62" s="9" t="n"/>
      <c r="D62" s="16" t="inlineStr">
        <is>
          <t>憑空冒出來的題目，口試一定會被問。</t>
        </is>
      </c>
    </row>
    <row r="63" ht="55" customHeight="1" s="12">
      <c r="A63" s="16" t="inlineStr">
        <is>
          <t>純學術資歷少的話，實務經歷已提煉成能力證據</t>
        </is>
      </c>
      <c r="B63" s="17" t="n"/>
      <c r="C63" s="9" t="n"/>
      <c r="D63" s="16" t="inlineStr">
        <is>
          <t>不是只列活動名稱，要寫成發現問題與法理推導的證據。</t>
        </is>
      </c>
    </row>
    <row r="64" ht="55" customHeight="1" s="12">
      <c r="A64" s="16" t="inlineStr">
        <is>
          <t>所有可查證的事實都與正式文件一致</t>
        </is>
      </c>
      <c r="B64" s="17" t="n"/>
      <c r="C64" s="9" t="n"/>
      <c r="D64" s="16" t="inlineStr">
        <is>
          <t>成績、名次、期間、職務。逐項核對。</t>
        </is>
      </c>
    </row>
    <row r="65" ht="40" customHeight="1" s="12"/>
    <row r="66" ht="24" customHeight="1" s="12">
      <c r="A66" s="2" t="inlineStr">
        <is>
          <t>第 6 區　送件前五問（5 項）</t>
        </is>
      </c>
    </row>
    <row r="67" ht="26" customHeight="1" s="12">
      <c r="A67" s="18" t="inlineStr">
        <is>
          <t>檢核項目</t>
        </is>
      </c>
      <c r="B67" s="17" t="n"/>
      <c r="C67" s="18" t="inlineStr">
        <is>
          <t>確認</t>
        </is>
      </c>
      <c r="D67" s="18" t="inlineStr">
        <is>
          <t>沒打勾的話，下一步</t>
        </is>
      </c>
    </row>
    <row r="68" ht="55" customHeight="1" s="12">
      <c r="A68" s="16" t="inlineStr">
        <is>
          <t>陌生的教授只讀這三份文件，能不能說出我要研究什麼、憑什麼？</t>
        </is>
      </c>
      <c r="B68" s="17" t="n"/>
      <c r="C68" s="9" t="n"/>
      <c r="D68" s="16" t="inlineStr">
        <is>
          <t>說不出來就是三份還沒收斂。</t>
        </is>
      </c>
    </row>
    <row r="69" ht="55" customHeight="1" s="12">
      <c r="A69" s="16" t="inlineStr">
        <is>
          <t>我最強的三段經歷，有沒有出現在最容易被看見的位置？</t>
        </is>
      </c>
      <c r="B69" s="17" t="n"/>
      <c r="C69" s="9" t="n"/>
      <c r="D69" s="16" t="inlineStr">
        <is>
          <t>把它們往前移。</t>
        </is>
      </c>
    </row>
    <row r="70" ht="55" customHeight="1" s="12">
      <c r="A70" s="16" t="inlineStr">
        <is>
          <t>有沒有任何一句話是我在口試時答不出細節的？</t>
        </is>
      </c>
      <c r="B70" s="17" t="n"/>
      <c r="C70" s="9" t="n"/>
      <c r="D70" s="16" t="inlineStr">
        <is>
          <t>有的話補細節或刪掉。二選一。</t>
        </is>
      </c>
    </row>
    <row r="71" ht="55" customHeight="1" s="12">
      <c r="A71" s="16" t="inlineStr">
        <is>
          <t>檔案命名、頁碼、目錄、格式是否符合各校簡章要求？</t>
        </is>
      </c>
      <c r="B71" s="17" t="n"/>
      <c r="C71" s="9" t="n"/>
      <c r="D71" s="16" t="inlineStr">
        <is>
          <t>逐校確認，不要用同一個檔投所有學校。</t>
        </is>
      </c>
    </row>
    <row r="72" ht="55" customHeight="1" s="12">
      <c r="A72" s="16" t="inlineStr">
        <is>
          <t>推薦信的老師手上，是否有我這三份文件的最新版本？</t>
        </is>
      </c>
      <c r="B72" s="17" t="n"/>
      <c r="C72" s="9" t="n"/>
      <c r="D72" s="16" t="inlineStr">
        <is>
          <t>現在就寄最新版過去。</t>
        </is>
      </c>
    </row>
    <row r="73" ht="40" customHeight="1" s="12"/>
    <row r="74" ht="24" customHeight="1" s="12">
      <c r="A74" s="2" t="inlineStr">
        <is>
          <t>第 7 區　常見失分點（6 項　✓ 代表我沒有這個問題）</t>
        </is>
      </c>
    </row>
    <row r="75" ht="26" customHeight="1" s="12">
      <c r="A75" s="18" t="inlineStr">
        <is>
          <t>檢核項目</t>
        </is>
      </c>
      <c r="B75" s="17" t="n"/>
      <c r="C75" s="18" t="inlineStr">
        <is>
          <t>確認</t>
        </is>
      </c>
      <c r="D75" s="18" t="inlineStr">
        <is>
          <t>沒打勾的話，下一步</t>
        </is>
      </c>
    </row>
    <row r="76" ht="55" customHeight="1" s="12">
      <c r="A76" s="16" t="inlineStr">
        <is>
          <t>經歷列成清單，看不出一條專業軌跡</t>
        </is>
      </c>
      <c r="B76" s="17" t="n"/>
      <c r="C76" s="9" t="n"/>
      <c r="D76" s="16" t="inlineStr">
        <is>
          <t>回經歷盤點，用「與研究方向的關聯」那一欄重排順序。</t>
        </is>
      </c>
    </row>
    <row r="77" ht="55" customHeight="1" s="12">
      <c r="A77" s="16" t="inlineStr">
        <is>
          <t>法服、實習與旁聽只寫參與，沒有寫處理過什麼爭議</t>
        </is>
      </c>
      <c r="B77" s="17" t="n"/>
      <c r="C77" s="9" t="n"/>
      <c r="D77" s="16" t="inlineStr">
        <is>
          <t>補案件類型、件數、你看到的落差。</t>
        </is>
      </c>
    </row>
    <row r="78" ht="55" customHeight="1" s="12">
      <c r="A78" s="16" t="inlineStr">
        <is>
          <t>CV 把課程報告寫成研究成果</t>
        </is>
      </c>
      <c r="B78" s="17" t="n"/>
      <c r="C78" s="9" t="n"/>
      <c r="D78" s="16" t="inlineStr">
        <is>
          <t>放「課堂重要報告」欄，不要放「學術產出」。</t>
        </is>
      </c>
    </row>
    <row r="79" ht="55" customHeight="1" s="12">
      <c r="A79" s="16" t="inlineStr">
        <is>
          <t>自傳寫成成長故事，沒有連到研究問題</t>
        </is>
      </c>
      <c r="B79" s="17" t="n"/>
      <c r="C79" s="9" t="n"/>
      <c r="D79" s="16" t="inlineStr">
        <is>
          <t>補轉折，並讓結尾接到研究計畫的題目。</t>
        </is>
      </c>
    </row>
    <row r="80" ht="55" customHeight="1" s="12">
      <c r="A80" s="16" t="inlineStr">
        <is>
          <t>核心科目的成績弱項完全不提</t>
        </is>
      </c>
      <c r="B80" s="17" t="n"/>
      <c r="C80" s="9" t="n"/>
      <c r="D80" s="16" t="inlineStr">
        <is>
          <t>主動說明一句，不要等委員發現。</t>
        </is>
      </c>
    </row>
    <row r="81" ht="55" customHeight="1" s="12">
      <c r="A81" s="16" t="inlineStr">
        <is>
          <t>三份文件指向不同的次領域</t>
        </is>
      </c>
      <c r="B81" s="17" t="n"/>
      <c r="C81" s="9" t="n"/>
      <c r="D81" s="16" t="inlineStr">
        <is>
          <t>先確定研究計畫的次領域，再回頭調 CV 與自傳。</t>
        </is>
      </c>
    </row>
    <row r="82" ht="40" customHeight="1" s="12"/>
    <row r="83" ht="24" customHeight="1" s="12">
      <c r="A83" s="2" t="inlineStr">
        <is>
          <t>第 8 區　送出前檢核（6 項　沒滿就先別送）</t>
        </is>
      </c>
    </row>
    <row r="84" ht="26" customHeight="1" s="12">
      <c r="A84" s="18" t="inlineStr">
        <is>
          <t>檢核項目</t>
        </is>
      </c>
      <c r="B84" s="17" t="n"/>
      <c r="C84" s="18" t="inlineStr">
        <is>
          <t>確認</t>
        </is>
      </c>
      <c r="D84" s="18" t="inlineStr">
        <is>
          <t>沒打勾的話，下一步</t>
        </is>
      </c>
    </row>
    <row r="85" ht="55" customHeight="1" s="12">
      <c r="A85" s="16" t="inlineStr">
        <is>
          <t>經歷排出了一條專業軌跡，不是清單</t>
        </is>
      </c>
      <c r="B85" s="17" t="n"/>
      <c r="C85" s="9" t="n"/>
      <c r="D85" s="16" t="inlineStr">
        <is>
          <t>回第 7 區第一項確認。</t>
        </is>
      </c>
    </row>
    <row r="86" ht="55" customHeight="1" s="12">
      <c r="A86" s="16" t="inlineStr">
        <is>
          <t>法服、實習與旁聽都寫出了處理過什麼爭議</t>
        </is>
      </c>
      <c r="B86" s="17" t="n"/>
      <c r="C86" s="9" t="n"/>
      <c r="D86" s="16" t="inlineStr">
        <is>
          <t>回第 3 區第三項確認。</t>
        </is>
      </c>
    </row>
    <row r="87" ht="55" customHeight="1" s="12">
      <c r="A87" s="16" t="inlineStr">
        <is>
          <t>CV 沒有把課程報告寫成研究成果</t>
        </is>
      </c>
      <c r="B87" s="17" t="n"/>
      <c r="C87" s="9" t="n"/>
      <c r="D87" s="16" t="inlineStr">
        <is>
          <t>回第 2 區第 6、7 欄確認分得清楚。</t>
        </is>
      </c>
    </row>
    <row r="88" ht="55" customHeight="1" s="12">
      <c r="A88" s="16" t="inlineStr">
        <is>
          <t>自傳連得到研究問題，不是成長故事</t>
        </is>
      </c>
      <c r="B88" s="17" t="n"/>
      <c r="C88" s="9" t="n"/>
      <c r="D88" s="16" t="inlineStr">
        <is>
          <t>回第 4 區確認四個要素都寫了。</t>
        </is>
      </c>
    </row>
    <row r="89" ht="55" customHeight="1" s="12">
      <c r="A89" s="16" t="inlineStr">
        <is>
          <t>核心科目的弱項有主動說明</t>
        </is>
      </c>
      <c r="B89" s="17" t="n"/>
      <c r="C89" s="9" t="n"/>
      <c r="D89" s="16" t="inlineStr">
        <is>
          <t>一句話帶過就好，不需要長篇解釋。</t>
        </is>
      </c>
    </row>
    <row r="90" ht="55" customHeight="1" s="12">
      <c r="A90" s="16" t="inlineStr">
        <is>
          <t>三份文件指向同一個次領域</t>
        </is>
      </c>
      <c r="B90" s="17" t="n"/>
      <c r="C90" s="9" t="n"/>
      <c r="D90" s="16" t="inlineStr">
        <is>
          <t>回第 5 區逐項確認。</t>
        </is>
      </c>
    </row>
    <row r="91" ht="42" customHeight="1" s="12">
      <c r="A91" s="14" t="inlineStr">
        <is>
          <t>這六項刻意和上面幾區重複。它們不是新工作，是最後那道閘門。</t>
        </is>
      </c>
    </row>
    <row r="92" ht="40" customHeight="1" s="12"/>
    <row r="93" ht="42" customHeight="1" s="12">
      <c r="A93" s="14" t="inlineStr">
        <is>
          <t>打完切到「我到哪了」分頁看結果。</t>
        </is>
      </c>
    </row>
    <row r="94" ht="14" customHeight="1" s="12"/>
    <row r="95" ht="28" customHeight="1" s="12">
      <c r="A95" s="8" t="inlineStr">
        <is>
          <t># 搭配文章：法政備審怎麼準備？CV、自傳與研究計畫的分工　https://tbd-edu.com/pages/resources/law-graduate-cv.html</t>
        </is>
      </c>
    </row>
    <row r="96" ht="28" customHeight="1" s="12">
      <c r="A96" s="8" t="inlineStr">
        <is>
          <t># TBD Studio ｜ https://tbd-edu.com/</t>
        </is>
      </c>
    </row>
  </sheetData>
  <mergeCells count="75">
    <mergeCell ref="A48:B48"/>
    <mergeCell ref="A17:D17"/>
    <mergeCell ref="A30:B30"/>
    <mergeCell ref="A24:B24"/>
    <mergeCell ref="A15:B15"/>
    <mergeCell ref="A64:B64"/>
    <mergeCell ref="A91:D91"/>
    <mergeCell ref="A60:B60"/>
    <mergeCell ref="A59:B59"/>
    <mergeCell ref="A49:B49"/>
    <mergeCell ref="A51:B51"/>
    <mergeCell ref="A11:B11"/>
    <mergeCell ref="A36:B36"/>
    <mergeCell ref="A88:B88"/>
    <mergeCell ref="A70:B70"/>
    <mergeCell ref="A79:B79"/>
    <mergeCell ref="A61:B61"/>
    <mergeCell ref="A6:B6"/>
    <mergeCell ref="A93:D93"/>
    <mergeCell ref="A69:B69"/>
    <mergeCell ref="A87:B87"/>
    <mergeCell ref="A44:D44"/>
    <mergeCell ref="A78:B78"/>
    <mergeCell ref="A54:B54"/>
    <mergeCell ref="A16:B16"/>
    <mergeCell ref="A7:B7"/>
    <mergeCell ref="A25:B25"/>
    <mergeCell ref="A41:B41"/>
    <mergeCell ref="A90:B90"/>
    <mergeCell ref="A37:B37"/>
    <mergeCell ref="A84:B84"/>
    <mergeCell ref="A75:B75"/>
    <mergeCell ref="A89:B89"/>
    <mergeCell ref="A80:B80"/>
    <mergeCell ref="A27:B27"/>
    <mergeCell ref="A55:B55"/>
    <mergeCell ref="A12:B12"/>
    <mergeCell ref="A50:B50"/>
    <mergeCell ref="A26:B26"/>
    <mergeCell ref="A21:B21"/>
    <mergeCell ref="A86:B86"/>
    <mergeCell ref="A76:B76"/>
    <mergeCell ref="A71:B71"/>
    <mergeCell ref="A47:B47"/>
    <mergeCell ref="A42:B42"/>
    <mergeCell ref="A5:B5"/>
    <mergeCell ref="A32:B32"/>
    <mergeCell ref="A85:B85"/>
    <mergeCell ref="A14:B14"/>
    <mergeCell ref="A23:B23"/>
    <mergeCell ref="A8:B8"/>
    <mergeCell ref="A22:B22"/>
    <mergeCell ref="A53:B53"/>
    <mergeCell ref="A62:B62"/>
    <mergeCell ref="A20:B20"/>
    <mergeCell ref="A38:B38"/>
    <mergeCell ref="A56:D56"/>
    <mergeCell ref="A72:B72"/>
    <mergeCell ref="A52:B52"/>
    <mergeCell ref="A29:B29"/>
    <mergeCell ref="A81:B81"/>
    <mergeCell ref="A43:B43"/>
    <mergeCell ref="A68:B68"/>
    <mergeCell ref="A63:B63"/>
    <mergeCell ref="A10:B10"/>
    <mergeCell ref="A28:B28"/>
    <mergeCell ref="A13:B13"/>
    <mergeCell ref="A39:B39"/>
    <mergeCell ref="A2:D2"/>
    <mergeCell ref="A40:B40"/>
    <mergeCell ref="A9:B9"/>
    <mergeCell ref="A67:B67"/>
    <mergeCell ref="A31:B31"/>
    <mergeCell ref="A33:D33"/>
    <mergeCell ref="A77:B77"/>
  </mergeCells>
  <dataValidations count="1">
    <dataValidation sqref="C6:C16 C21:C32 C37:C43 C48:C55 C60:C64 C68:C72 C76:C81 C85:C90" showDropDown="0" showInputMessage="0" showErrorMessage="0" allowBlank="0" type="list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tabSelected="1" zoomScale="75" workbookViewId="0">
      <pane ySplit="2" topLeftCell="A3" activePane="bottomLeft" state="frozen"/>
      <selection pane="bottomLeft" activeCell="H11" sqref="H11"/>
    </sheetView>
  </sheetViews>
  <sheetFormatPr baseColWidth="10" defaultColWidth="9" defaultRowHeight="14"/>
  <cols>
    <col width="39.59765625" customWidth="1" style="12" min="1" max="1"/>
    <col width="18.19921875" customWidth="1" style="12" min="2" max="2"/>
    <col width="64.796875" customWidth="1" style="12" min="3" max="3"/>
    <col width="64" customWidth="1" style="12" min="4" max="4"/>
    <col width="12" customWidth="1" style="12" min="5" max="6"/>
  </cols>
  <sheetData>
    <row r="1" ht="30" customHeight="1" s="12">
      <c r="A1" s="1" t="inlineStr">
        <is>
          <t>法政｜備審檢核表　v1</t>
        </is>
      </c>
    </row>
    <row r="2" ht="28" customHeight="1" s="12">
      <c r="A2" s="19" t="inlineStr">
        <is>
          <t>數字會跟著「檢核表」自動變。留白的項目就是你接下來的工作清單。</t>
        </is>
      </c>
    </row>
    <row r="3" ht="40" customHeight="1" s="12"/>
    <row r="4" ht="24" customHeight="1" s="12">
      <c r="A4" s="2" t="inlineStr">
        <is>
          <t>8 區完成度</t>
        </is>
      </c>
    </row>
    <row r="5" ht="26" customHeight="1" s="12">
      <c r="A5" s="18" t="inlineStr">
        <is>
          <t>區塊</t>
        </is>
      </c>
      <c r="B5" s="18" t="inlineStr">
        <is>
          <t>已確認</t>
        </is>
      </c>
      <c r="C5" s="18" t="inlineStr">
        <is>
          <t>完成的比例（滿格代表這一區做完）</t>
        </is>
      </c>
      <c r="D5" s="18" t="inlineStr">
        <is>
          <t>這一區在檢查什麼</t>
        </is>
      </c>
    </row>
    <row r="6" ht="52" customHeight="1" s="12">
      <c r="A6" s="16" t="inlineStr">
        <is>
          <t>容易漏掉的法政經歷</t>
        </is>
      </c>
      <c r="B6" s="16">
        <f>COUNTIF(檢核表!C6:C16,"✓")&amp;" / 11"</f>
        <v/>
      </c>
      <c r="C6" s="16">
        <f>IF(COUNTIF(檢核表!C6:C16,"✓")=0,"尚未開始",REPT("█",ROUND(COUNTIF(檢核表!C6:C16,"✓")/11*16,0)))</f>
        <v/>
      </c>
      <c r="D6" s="16" t="inlineStr">
        <is>
          <t>盤點的時候有沒有把這十一類都想過一遍。</t>
        </is>
      </c>
    </row>
    <row r="7" ht="52" customHeight="1" s="12">
      <c r="A7" s="16" t="inlineStr">
        <is>
          <t>學術 CV 十二欄位</t>
        </is>
      </c>
      <c r="B7" s="16">
        <f>COUNTIF(檢核表!C21:C32,"✓")&amp;" / 12"</f>
        <v/>
      </c>
      <c r="C7" s="16">
        <f>IF(COUNTIF(檢核表!C21:C32,"✓")=0,"尚未開始",REPT("█",ROUND(COUNTIF(檢核表!C21:C32,"✓")/12*16,0)))</f>
        <v/>
      </c>
      <c r="D7" s="16" t="inlineStr">
        <is>
          <t>十二個欄位有沒有齊，沒有的不要硬湊。</t>
        </is>
      </c>
    </row>
    <row r="8" ht="52" customHeight="1" s="12">
      <c r="A8" s="16" t="inlineStr">
        <is>
          <t>每段經歷該寫出的七件事</t>
        </is>
      </c>
      <c r="B8" s="16">
        <f>COUNTIF(檢核表!C37:C43,"✓")&amp;" / 7"</f>
        <v/>
      </c>
      <c r="C8" s="16">
        <f>IF(COUNTIF(檢核表!C37:C43,"✓")=0,"尚未開始",REPT("█",ROUND(COUNTIF(檢核表!C37:C43,"✓")/7*16,0)))</f>
        <v/>
      </c>
      <c r="D8" s="16" t="inlineStr">
        <is>
          <t>每一段經歷是不是七件事都寫出來了。</t>
        </is>
      </c>
    </row>
    <row r="9" ht="52" customHeight="1" s="12">
      <c r="A9" s="16" t="inlineStr">
        <is>
          <t>自傳</t>
        </is>
      </c>
      <c r="B9" s="16">
        <f>COUNTIF(檢核表!C48:C55,"✓")&amp;" / 8"</f>
        <v/>
      </c>
      <c r="C9" s="16">
        <f>IF(COUNTIF(檢核表!C48:C55,"✓")=0,"尚未開始",REPT("█",ROUND(COUNTIF(檢核表!C48:C55,"✓")/8*16,0)))</f>
        <v/>
      </c>
      <c r="D9" s="16" t="inlineStr">
        <is>
          <t>四個要素寫了沒，四種該刪的刪了沒。</t>
        </is>
      </c>
    </row>
    <row r="10" ht="52" customHeight="1" s="12">
      <c r="A10" s="16" t="inlineStr">
        <is>
          <t>文件一致性</t>
        </is>
      </c>
      <c r="B10" s="16">
        <f>COUNTIF(檢核表!C60:C64,"✓")&amp;" / 5"</f>
        <v/>
      </c>
      <c r="C10" s="16">
        <f>IF(COUNTIF(檢核表!C60:C64,"✓")=0,"尚未開始",REPT("█",ROUND(COUNTIF(檢核表!C60:C64,"✓")/5*16,0)))</f>
        <v/>
      </c>
      <c r="D10" s="16" t="inlineStr">
        <is>
          <t>三份是不是指向同一個次領域。</t>
        </is>
      </c>
    </row>
    <row r="11" ht="52" customHeight="1" s="12">
      <c r="A11" s="16" t="inlineStr">
        <is>
          <t>送件前五問</t>
        </is>
      </c>
      <c r="B11" s="16">
        <f>COUNTIF(檢核表!C68:C72,"✓")&amp;" / 5"</f>
        <v/>
      </c>
      <c r="C11" s="16">
        <f>IF(COUNTIF(檢核表!C68:C72,"✓")=0,"尚未開始",REPT("█",ROUND(COUNTIF(檢核表!C68:C72,"✓")/5*16,0)))</f>
        <v/>
      </c>
      <c r="D11" s="16" t="inlineStr">
        <is>
          <t>整份備審的自我檢核。</t>
        </is>
      </c>
    </row>
    <row r="12" ht="52" customHeight="1" s="12">
      <c r="A12" s="16" t="inlineStr">
        <is>
          <t>常見失分點</t>
        </is>
      </c>
      <c r="B12" s="16">
        <f>COUNTIF(檢核表!C76:C81,"✓")&amp;" / 6"</f>
        <v/>
      </c>
      <c r="C12" s="16">
        <f>IF(COUNTIF(檢核表!C76:C81,"✓")=0,"尚未開始",REPT("█",ROUND(COUNTIF(檢核表!C76:C81,"✓")/6*16,0)))</f>
        <v/>
      </c>
      <c r="D12" s="16" t="inlineStr">
        <is>
          <t>有沒有踩到最常見的六個扣分寫法。</t>
        </is>
      </c>
    </row>
    <row r="13" ht="52" customHeight="1" s="12">
      <c r="A13" s="16" t="inlineStr">
        <is>
          <t>送出前檢核</t>
        </is>
      </c>
      <c r="B13" s="16">
        <f>COUNTIF(檢核表!C85:C90,"✓")&amp;" / 6"</f>
        <v/>
      </c>
      <c r="C13" s="16">
        <f>IF(COUNTIF(檢核表!C85:C90,"✓")=0,"尚未開始",REPT("█",ROUND(COUNTIF(檢核表!C85:C90,"✓")/6*16,0)))</f>
        <v/>
      </c>
      <c r="D13" s="16" t="inlineStr">
        <is>
          <t>最後那道閘門。這六項沒到就先別送。</t>
        </is>
      </c>
    </row>
    <row r="14" ht="52" customHeight="1" s="12">
      <c r="A14" s="16" t="inlineStr">
        <is>
          <t>合計</t>
        </is>
      </c>
      <c r="B14" s="16">
        <f>(COUNTIF(檢核表!C6:C16,"✓")+COUNTIF(檢核表!C21:C32,"✓")+COUNTIF(檢核表!C37:C43,"✓")+COUNTIF(檢核表!C48:C55,"✓")+COUNTIF(檢核表!C60:C64,"✓")+COUNTIF(檢核表!C68:C72,"✓")+COUNTIF(檢核表!C76:C81,"✓")+COUNTIF(檢核表!C85:C90,"✓"))&amp;" / 60"</f>
        <v/>
      </c>
      <c r="C14" s="16">
        <f>IF((COUNTIF(檢核表!C6:C16,"✓")+COUNTIF(檢核表!C21:C32,"✓")+COUNTIF(檢核表!C37:C43,"✓")+COUNTIF(檢核表!C48:C55,"✓")+COUNTIF(檢核表!C60:C64,"✓")+COUNTIF(檢核表!C68:C72,"✓")+COUNTIF(檢核表!C76:C81,"✓")+COUNTIF(檢核表!C85:C90,"✓"))=0,"尚未開始",REPT("█",ROUND((COUNTIF(檢核表!C6:C16,"✓")+COUNTIF(檢核表!C21:C32,"✓")+COUNTIF(檢核表!C37:C43,"✓")+COUNTIF(檢核表!C48:C55,"✓")+COUNTIF(檢核表!C60:C64,"✓")+COUNTIF(檢核表!C68:C72,"✓")+COUNTIF(檢核表!C76:C81,"✓")+COUNTIF(檢核表!C85:C90,"✓"))/60*16,0)))</f>
        <v/>
      </c>
      <c r="D14" s="16" t="inlineStr">
        <is>
          <t>完成率見下方。</t>
        </is>
      </c>
    </row>
    <row r="15" ht="42" customHeight="1" s="12">
      <c r="A15" s="14" t="inlineStr">
        <is>
          <t>9 條長條都換算成同一個滿格刻度，所以可以直接互相比。最短的那一區就是你目前最弱的地方。</t>
        </is>
      </c>
    </row>
    <row r="16" ht="40" customHeight="1" s="12"/>
    <row r="17" ht="24" customHeight="1" s="12">
      <c r="A17" s="2" t="inlineStr">
        <is>
          <t>還有什麼可以做</t>
        </is>
      </c>
    </row>
    <row r="18" ht="26" customHeight="1" s="12">
      <c r="A18" s="18" t="inlineStr">
        <is>
          <t>完成率</t>
        </is>
      </c>
      <c r="B18" s="18" t="inlineStr">
        <is>
          <t>還沒打勾</t>
        </is>
      </c>
      <c r="C18" s="18" t="inlineStr">
        <is>
          <t>怎麼用這兩個數字</t>
        </is>
      </c>
      <c r="D18" s="17" t="n"/>
    </row>
    <row r="19" ht="67" customHeight="1" s="12">
      <c r="A19" s="10">
        <f>(COUNTIF(檢核表!C6:C16,"✓")+COUNTIF(檢核表!C21:C32,"✓")+COUNTIF(檢核表!C37:C43,"✓")+COUNTIF(檢核表!C48:C55,"✓")+COUNTIF(檢核表!C60:C64,"✓")+COUNTIF(檢核表!C68:C72,"✓")+COUNTIF(檢核表!C76:C81,"✓")+COUNTIF(檢核表!C85:C90,"✓"))/60</f>
        <v/>
      </c>
      <c r="B19" s="16">
        <f>60-(COUNTIF(檢核表!C6:C16,"✓")+COUNTIF(檢核表!C21:C32,"✓")+COUNTIF(檢核表!C37:C43,"✓")+COUNTIF(檢核表!C48:C55,"✓")+COUNTIF(檢核表!C60:C64,"✓")+COUNTIF(檢核表!C68:C72,"✓")+COUNTIF(檢核表!C76:C81,"✓")+COUNTIF(檢核表!C85:C90,"✓"))</f>
        <v/>
      </c>
      <c r="C19" s="16" t="inlineStr">
        <is>
          <t>「還沒打勾」就是你的工作清單長度。回「檢核表」看那幾列的「下一步」欄，一項對應一件事。</t>
        </is>
      </c>
      <c r="D19" s="17" t="n"/>
    </row>
    <row r="20" ht="42" customHeight="1" s="12">
      <c r="A20" s="14" t="inlineStr">
        <is>
          <t>不用追求一次補完。每次回來處理三到五項，隔幾週再打一次，你會看得到自己的進度。</t>
        </is>
      </c>
    </row>
    <row r="21" ht="14" customHeight="1" s="12"/>
    <row r="22" ht="28" customHeight="1" s="12">
      <c r="A22" s="8" t="inlineStr">
        <is>
          <t># 搭配文章：法政備審怎麼準備？CV、自傳與研究計畫的分工　https://tbd-edu.com/pages/resources/law-graduate-cv.html</t>
        </is>
      </c>
      <c r="B22" s="7" t="n"/>
      <c r="C22" s="7" t="n"/>
      <c r="D22" s="7" t="n"/>
      <c r="E22" s="7" t="n"/>
    </row>
    <row r="23" ht="28" customHeight="1" s="12">
      <c r="A23" s="8" t="inlineStr">
        <is>
          <t># TBD Studio ｜ https://tbd-edu.com/</t>
        </is>
      </c>
      <c r="B23" s="7" t="n"/>
      <c r="C23" s="7" t="n"/>
      <c r="D23" s="7" t="n"/>
      <c r="E23" s="7" t="n"/>
    </row>
  </sheetData>
  <mergeCells count="5">
    <mergeCell ref="A20:D20"/>
    <mergeCell ref="C19:D19"/>
    <mergeCell ref="A15:D15"/>
    <mergeCell ref="A2:D2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2026-09-05T06:15:35Z</dcterms:created>
  <dcterms:modified xmlns:dcterms="http://purl.org/dc/terms/" xmlns:xsi="http://www.w3.org/2001/XMLSchema-instance" xsi:type="dcterms:W3CDTF">2026-09-24T14:04:35Z</dcterms:modified>
  <cp:lastModifiedBy>TBD Studio</cp:lastModifiedBy>
</cp:coreProperties>
</file>