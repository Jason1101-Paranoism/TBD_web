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0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經歷盤點" sheetId="2" state="visible" r:id="rId2"/>
    <sheet xmlns:r="http://schemas.openxmlformats.org/officeDocument/2006/relationships" name="檢核表" sheetId="3" state="visible" r:id="rId3"/>
    <sheet xmlns:r="http://schemas.openxmlformats.org/officeDocument/2006/relationships" name="我到哪了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新細明體"/>
      <family val="2"/>
      <color theme="1"/>
      <sz val="11"/>
      <scheme val="minor"/>
    </font>
    <font>
      <name val="新細明體"/>
      <charset val="136"/>
      <family val="1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Arial"/>
      <family val="2"/>
      <sz val="16"/>
    </font>
    <font>
      <name val="Arial"/>
      <family val="2"/>
      <b val="1"/>
      <color rgb="FFA54E3D"/>
      <sz val="16"/>
    </font>
    <font>
      <name val="Arial"/>
      <family val="2"/>
      <color rgb="FF6D8098"/>
      <sz val="16"/>
    </font>
    <font>
      <name val="Courier New"/>
      <family val="1"/>
      <color theme="1" tint="0.3499862666707358"/>
      <sz val="16"/>
    </font>
    <font>
      <name val="新細明體"/>
      <charset val="136"/>
      <family val="3"/>
      <sz val="9"/>
      <scheme val="minor"/>
    </font>
    <font>
      <name val="新細明體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6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  <border>
      <left/>
      <right/>
      <top style="thin">
        <color rgb="FFC8D2DE"/>
      </top>
      <bottom/>
      <diagonal/>
    </border>
    <border>
      <left/>
      <right style="thin">
        <color rgb="FFC8D2DE"/>
      </right>
      <top style="thin">
        <color rgb="FFC8D2DE"/>
      </top>
      <bottom/>
      <diagonal/>
    </border>
  </borders>
  <cellStyleXfs count="1">
    <xf numFmtId="0" fontId="0" fillId="0" borderId="3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4" fillId="2" borderId="0" pivotButton="0" quotePrefix="0" xfId="0"/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1" fillId="0" borderId="3" pivotButton="0" quotePrefix="0" xfId="0"/>
    <xf numFmtId="0" fontId="9" fillId="0" borderId="3" applyAlignment="1" pivotButton="0" quotePrefix="0" xfId="0">
      <alignment vertical="center"/>
    </xf>
    <xf numFmtId="0" fontId="6" fillId="4" borderId="1" applyAlignment="1" pivotButton="0" quotePrefix="0" xfId="0">
      <alignment vertical="top" wrapText="1"/>
    </xf>
    <xf numFmtId="9" fontId="6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3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0" fillId="0" borderId="2" pivotButton="0" quotePrefix="0" xfId="0"/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0" borderId="3" applyAlignment="1" pivotButton="0" quotePrefix="0" xfId="0">
      <alignment horizontal="left" vertical="top" wrapText="1"/>
    </xf>
    <xf numFmtId="0" fontId="11" fillId="0" borderId="0" pivotButton="0" quotePrefix="0" xfId="0"/>
    <xf numFmtId="0" fontId="3" fillId="0" borderId="3" applyAlignment="1" pivotButton="0" quotePrefix="0" xfId="0">
      <alignment horizontal="left" vertical="top" wrapText="1"/>
    </xf>
    <xf numFmtId="0" fontId="7" fillId="0" borderId="3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showGridLines="0" tabSelected="1" zoomScale="75" workbookViewId="0">
      <pane ySplit="2" topLeftCell="A101" activePane="bottomLeft" state="frozen"/>
      <selection pane="bottomLeft" activeCell="A40" sqref="A40:F40"/>
    </sheetView>
  </sheetViews>
  <sheetFormatPr baseColWidth="10" defaultColWidth="9" defaultRowHeight="14"/>
  <cols>
    <col width="36.59765625" customWidth="1" style="10" min="1" max="1"/>
    <col width="79.19921875" customWidth="1" style="10" min="2" max="2"/>
    <col width="42.59765625" customWidth="1" style="10" min="3" max="3"/>
    <col width="14" customWidth="1" style="10" min="4" max="4"/>
    <col width="12" customWidth="1" style="10" min="5" max="6"/>
  </cols>
  <sheetData>
    <row r="1" ht="30" customHeight="1" s="10">
      <c r="A1" s="1" t="inlineStr">
        <is>
          <t>商管與財經｜備審檢核表　v1</t>
        </is>
      </c>
    </row>
    <row r="2" ht="28" customHeight="1" s="10">
      <c r="A2" s="20" t="inlineStr">
        <is>
          <t>先讀這頁，大約三分鐘。這份工具有四個分頁，主體是打勾。</t>
        </is>
      </c>
    </row>
    <row r="3" ht="40" customHeight="1" s="10"/>
    <row r="4" ht="24" customHeight="1" s="10">
      <c r="A4" s="2" t="inlineStr">
        <is>
          <t>這份表是什麼、不是什麼</t>
        </is>
      </c>
    </row>
    <row r="5" ht="26" customHeight="1" s="10">
      <c r="A5" s="14" t="inlineStr">
        <is>
          <t>它是</t>
        </is>
      </c>
      <c r="B5" s="14" t="inlineStr">
        <is>
          <t>它不是</t>
        </is>
      </c>
    </row>
    <row r="6" ht="79" customHeight="1" s="10">
      <c r="A6" s="16" t="inlineStr">
        <is>
          <t>一面鏡子。照出你的備審現在到哪了、還有哪些沒做。</t>
        </is>
      </c>
      <c r="B6" s="16" t="inlineStr">
        <is>
          <t>寫作工作台。經歷盤點那頁只是快速列一次，完整文字版在另外幾份表。</t>
        </is>
      </c>
    </row>
    <row r="7" ht="79" customHeight="1" s="10">
      <c r="A7" s="16" t="inlineStr">
        <is>
          <t>一次十五到二十分鐘就做得完的自我盤點。</t>
        </is>
      </c>
      <c r="B7" s="16" t="inlineStr">
        <is>
          <t>寫作指導。這裡不教你怎麼寫，只告訴你哪裡還沒寫。</t>
        </is>
      </c>
    </row>
    <row r="8" ht="79" customHeight="1" s="10">
      <c r="A8" s="16" t="inlineStr">
        <is>
          <t>可以重複用的。每投一間學校前都回來打一次。</t>
        </is>
      </c>
      <c r="B8" s="16" t="inlineStr">
        <is>
          <t>一次性的送件清單。全部打完勾不是終點，是可以送件的起點。</t>
        </is>
      </c>
    </row>
    <row r="9" ht="40" customHeight="1" s="10"/>
    <row r="10" ht="24" customHeight="1" s="10">
      <c r="A10" s="2" t="inlineStr">
        <is>
          <t>這個類群的備審在驗證什麼</t>
        </is>
      </c>
    </row>
    <row r="11" ht="32" customHeight="1" s="10">
      <c r="A11" s="21" t="inlineStr">
        <is>
          <t>這些經歷如何證明你的能力，並支持你的申請方向。</t>
        </is>
      </c>
    </row>
    <row r="12" ht="53" customHeight="1" s="10">
      <c r="A12" s="22" t="inlineStr">
        <is>
          <t>很多人擔心經歷不夠：實習不是大公司、競賽沒得名、社團只是一般幹部。但實際看過大量備審之後會發現，扣分的原因通常不是經歷太少，而是經歷缺乏整理與連結。</t>
        </is>
      </c>
    </row>
    <row r="13" ht="53" customHeight="1" s="10">
      <c r="A13" s="22" t="inlineStr">
        <is>
          <t>一份三段實習、五個競賽、兩個社團幹部的備審，如果每一段都只有名稱與職稱，讀完的印象會是「這個人很忙」，而不是「這個人具備某種能力」。相反地，兩段經歷但每段都寫得出問題、方法、你的角色與具體成果，並且都指向同一種能力，反而形成清楚的說服力。</t>
        </is>
      </c>
    </row>
    <row r="14" ht="40" customHeight="1" s="10"/>
    <row r="15" ht="24" customHeight="1" s="10">
      <c r="A15" s="2" t="inlineStr">
        <is>
          <t>排版之前先做這件事</t>
        </is>
      </c>
    </row>
    <row r="16" ht="26" customHeight="1" s="10">
      <c r="A16" s="14" t="inlineStr">
        <is>
          <t>逐項問自己</t>
        </is>
      </c>
      <c r="B16" s="14" t="inlineStr">
        <is>
          <t>答不出來的話</t>
        </is>
      </c>
    </row>
    <row r="17" ht="51" customHeight="1" s="10">
      <c r="A17" s="16" t="inlineStr">
        <is>
          <t>這段經歷我實際負責了什麼？</t>
        </is>
      </c>
      <c r="B17" s="16" t="inlineStr">
        <is>
          <t>只有職稱沒有內容，這段就還不能寫進 CV。</t>
        </is>
      </c>
    </row>
    <row r="18" ht="51" customHeight="1" s="10">
      <c r="A18" s="16" t="inlineStr">
        <is>
          <t>它證明了我哪一種能力？</t>
        </is>
      </c>
      <c r="B18" s="16" t="inlineStr">
        <is>
          <t>說不出能力，就只是一筆流水帳。</t>
        </is>
      </c>
    </row>
    <row r="19" ht="51" customHeight="1" s="10">
      <c r="A19" s="16" t="inlineStr">
        <is>
          <t>這個能力和我要申請的方向有什麼關係？</t>
        </is>
      </c>
      <c r="B19" s="16" t="inlineStr">
        <is>
          <t>答不出第三個問題的經歷，不是不能放，而是要放在次要位置，別讓它稀釋主線。</t>
        </is>
      </c>
    </row>
    <row r="20" ht="42" customHeight="1" s="10">
      <c r="A20" s="11" t="inlineStr">
        <is>
          <t>順序是：經歷盤點，主題分類，能力證據，申請方向連結。這一步做完，故事線是長出來的；跳過這一步，故事線就是編出來的。</t>
        </is>
      </c>
    </row>
    <row r="21" ht="40" customHeight="1" s="10"/>
    <row r="22" ht="24" customHeight="1" s="10">
      <c r="A22" s="2" t="inlineStr">
        <is>
          <t>經歷描述怎麼寫才算具體</t>
        </is>
      </c>
    </row>
    <row r="23" ht="26" customHeight="1" s="10">
      <c r="A23" s="14" t="inlineStr">
        <is>
          <t>避免只寫</t>
        </is>
      </c>
      <c r="B23" s="14" t="inlineStr">
        <is>
          <t>建議具體化</t>
        </is>
      </c>
    </row>
    <row r="24" ht="67" customHeight="1" s="10">
      <c r="A24" s="16" t="inlineStr">
        <is>
          <t>參與行銷競賽</t>
        </is>
      </c>
      <c r="B24" s="16" t="inlineStr">
        <is>
          <t>負責市場資料蒐集與消費者分群，用問卷與次級資料分析建立提案方向，最終完成品牌進入策略並進入決賽</t>
        </is>
      </c>
    </row>
    <row r="25" ht="67" customHeight="1" s="10">
      <c r="A25" s="16" t="inlineStr">
        <is>
          <t>擔任社團幹部</t>
        </is>
      </c>
      <c r="B25" s="16" t="inlineStr">
        <is>
          <t>帶領六人團隊規劃全年活動，重整報名流程與經費控管，使參與人數較前一年成長四成</t>
        </is>
      </c>
    </row>
    <row r="26" ht="67" customHeight="1" s="10">
      <c r="A26" s="16" t="inlineStr">
        <is>
          <t>在某公司實習</t>
        </is>
      </c>
      <c r="B26" s="16" t="inlineStr">
        <is>
          <t>於商業分析部門負責週報資料處理，用 SQL 整理交易資料並產出視覺化報表，供主管檢視通路表現</t>
        </is>
      </c>
    </row>
    <row r="27" ht="42" customHeight="1" s="10">
      <c r="A27" s="18" t="inlineStr">
        <is>
          <t>第二種寫法透露的訊息完全不同：你做的是分析而不是排版、你會問卷與次級資料分析、你的產出直接影響了提案方向。而且很現實的一點是，寫得出這些細節，本身就是你真的做過的證據。</t>
        </is>
      </c>
    </row>
    <row r="28" ht="42" customHeight="1" s="10">
      <c r="A28" s="18" t="inlineStr">
        <is>
          <t>反過來也提醒一件事：不要為了好看而誇大自己在團隊中的角色。備審裡的每一句話，口試都可能被追問到細節。</t>
        </is>
      </c>
    </row>
    <row r="29" ht="40" customHeight="1" s="10"/>
    <row r="30" ht="24" customHeight="1" s="10">
      <c r="A30" s="2" t="inlineStr">
        <is>
          <t>一個實用的排版判準</t>
        </is>
      </c>
    </row>
    <row r="31" ht="53" customHeight="1" s="10">
      <c r="A31" s="18" t="inlineStr">
        <is>
          <t>你的 CV 能不能在 30 秒內看出主軸？教授一份份看下來，第一眼抓不到重點的 CV，後面再精彩也容易被稀釋。把最能支撐申請方向的欄位往前放，把 Data 與 Technical Skills 獨立成清楚的區塊。</t>
        </is>
      </c>
    </row>
    <row r="32" ht="40" customHeight="1" s="10"/>
    <row r="33" ht="24" customHeight="1" s="10">
      <c r="A33" s="2" t="inlineStr">
        <is>
          <t>五份文件的分工</t>
        </is>
      </c>
    </row>
    <row r="34" ht="26" customHeight="1" s="10">
      <c r="A34" s="14" t="inlineStr">
        <is>
          <t>文件</t>
        </is>
      </c>
      <c r="B34" s="14" t="inlineStr">
        <is>
          <t>回答什麼</t>
        </is>
      </c>
    </row>
    <row r="35" ht="41" customHeight="1" s="10">
      <c r="A35" s="16" t="inlineStr">
        <is>
          <t>CV</t>
        </is>
      </c>
      <c r="B35" s="16" t="inlineStr">
        <is>
          <t>你做過什麼。條列的事實清單。</t>
        </is>
      </c>
    </row>
    <row r="36" ht="41" customHeight="1" s="10">
      <c r="A36" s="16" t="inlineStr">
        <is>
          <t>自傳</t>
        </is>
      </c>
      <c r="B36" s="16" t="inlineStr">
        <is>
          <t>你為什麼走到這裡。動機、轉折與脈絡。</t>
        </is>
      </c>
    </row>
    <row r="37" ht="41" customHeight="1" s="10">
      <c r="A37" s="16" t="inlineStr">
        <is>
          <t>研究計畫</t>
        </is>
      </c>
      <c r="B37" s="16" t="inlineStr">
        <is>
          <t>你接下來想研究什麼。問題意識與方法。</t>
        </is>
      </c>
    </row>
    <row r="38" ht="41" customHeight="1" s="10">
      <c r="A38" s="16" t="inlineStr">
        <is>
          <t>讀書計畫</t>
        </is>
      </c>
      <c r="B38" s="16" t="inlineStr">
        <is>
          <t>進入研究所後如何成長。修課規劃、能力補強、階段目標。</t>
        </is>
      </c>
    </row>
    <row r="39" ht="41" customHeight="1" s="10">
      <c r="A39" s="16" t="inlineStr">
        <is>
          <t>推薦信</t>
        </is>
      </c>
      <c r="B39" s="16" t="inlineStr">
        <is>
          <t>第三方如何證明你的能力。所以推薦人要早點知道你的申請方向。</t>
        </is>
      </c>
    </row>
    <row r="40" ht="53" customHeight="1" s="10">
      <c r="A40" s="18" t="inlineStr">
        <is>
          <t>五份文件的可信度來自它們之間的一致性：CV 裡的能力，在自傳裡有形成的過程；自傳裡的方向，在研究計畫裡變成具體題目；研究計畫需要的能力，在讀書計畫裡有補強安排。這條線通了，教授讀起來就不會有拼湊感。</t>
        </is>
      </c>
    </row>
    <row r="41" ht="40" customHeight="1" s="10"/>
    <row r="42" ht="24" customHeight="1" s="10">
      <c r="A42" s="2" t="inlineStr">
        <is>
          <t>轉折可以，跳躍不行</t>
        </is>
      </c>
    </row>
    <row r="43" ht="72" customHeight="1" s="10">
      <c r="A43" s="18" t="inlineStr">
        <is>
          <t>如果你的經歷確實分散在不同領域，不要硬編一個假的因果，而是誠實說明：這些經歷讓你看見了哪些不同面向，最後為什麼收斂到現在這個方向。同樣三段看似無關的經歷，如果都涉及資料蒐集與決策建議，就可以整理成「用資料支援商業判斷」這條主線。真正扣分的是完全不解釋，讓教授自己去猜。</t>
        </is>
      </c>
    </row>
    <row r="44" ht="40" customHeight="1" s="10"/>
    <row r="45" ht="24" customHeight="1" s="10">
      <c r="A45" s="2" t="inlineStr">
        <is>
          <t>什麼時候用，可以用幾次</t>
        </is>
      </c>
    </row>
    <row r="46" ht="53" customHeight="1" s="10">
      <c r="A46" s="18" t="inlineStr">
        <is>
          <t>第一次：大三下到大四上，開始整理 CV 之前。之後每隔三到四週回來打一次，送件前針對每一間學校再打最後一次，因為最後一區有一項就是「是否針對不同校所調整過版本」。</t>
        </is>
      </c>
    </row>
    <row r="47" ht="40" customHeight="1" s="10"/>
    <row r="48" ht="24" customHeight="1" s="10">
      <c r="A48" s="2" t="inlineStr">
        <is>
          <t>四個分頁的分工</t>
        </is>
      </c>
    </row>
    <row r="49" ht="26" customHeight="1" s="10">
      <c r="A49" s="14" t="inlineStr">
        <is>
          <t>分頁</t>
        </is>
      </c>
      <c r="B49" s="14" t="inlineStr">
        <is>
          <t>做什麼</t>
        </is>
      </c>
    </row>
    <row r="50" ht="32" customHeight="1" s="10">
      <c r="A50" s="16" t="inlineStr">
        <is>
          <t>先讀這裡</t>
        </is>
      </c>
      <c r="B50" s="16" t="inlineStr">
        <is>
          <t>你正在讀的這頁。判準、經歷描述寫法、怎麼打勾、卡關怎麼辦。</t>
        </is>
      </c>
    </row>
    <row r="51" ht="32" customHeight="1" s="10">
      <c r="A51" s="16" t="inlineStr">
        <is>
          <t>經歷盤點</t>
        </is>
      </c>
      <c r="B51" s="16" t="inlineStr">
        <is>
          <t>唯一要寫字的地方，而且只寫關鍵字。排版之前先做這一頁。</t>
        </is>
      </c>
    </row>
    <row r="52" ht="32" customHeight="1" s="10">
      <c r="A52" s="16" t="inlineStr">
        <is>
          <t>檢核表</t>
        </is>
      </c>
      <c r="B52" s="16" t="inlineStr">
        <is>
          <t>6 區共 40 項，逐項打勾。每一項旁邊都寫好了沒打勾的話下一步做什麼。</t>
        </is>
      </c>
    </row>
    <row r="53" ht="32" customHeight="1" s="10">
      <c r="A53" s="16" t="inlineStr">
        <is>
          <t>我到哪了</t>
        </is>
      </c>
      <c r="B53" s="16" t="inlineStr">
        <is>
          <t>打完之後看這頁。6 區完成度與還沒打勾的數量。</t>
        </is>
      </c>
    </row>
    <row r="54" ht="40" customHeight="1" s="10"/>
    <row r="55" ht="24" customHeight="1" s="10">
      <c r="A55" s="2" t="inlineStr">
        <is>
          <t>四個步驟</t>
        </is>
      </c>
    </row>
    <row r="56" ht="26" customHeight="1" s="10">
      <c r="A56" s="14" t="inlineStr">
        <is>
          <t>步驟</t>
        </is>
      </c>
      <c r="B56" s="14" t="inlineStr">
        <is>
          <t>做什麼</t>
        </is>
      </c>
    </row>
    <row r="57" ht="44" customHeight="1" s="10">
      <c r="A57" s="16" t="inlineStr">
        <is>
          <t>第 1 步</t>
        </is>
      </c>
      <c r="B57" s="16" t="inlineStr">
        <is>
          <t>切到「經歷盤點」分頁，把所有經歷攤開，每段回答三個問題。</t>
        </is>
      </c>
    </row>
    <row r="58" ht="44" customHeight="1" s="10">
      <c r="A58" s="16" t="inlineStr">
        <is>
          <t>第 2 步</t>
        </is>
      </c>
      <c r="B58" s="16" t="inlineStr">
        <is>
          <t>切到「檢核表」分頁，6 區從上往下打。不確定的先留白。</t>
        </is>
      </c>
    </row>
    <row r="59" ht="44" customHeight="1" s="10">
      <c r="A59" s="16" t="inlineStr">
        <is>
          <t>第 3 步</t>
        </is>
      </c>
      <c r="B59" s="16" t="inlineStr">
        <is>
          <t>切到「我到哪了」分頁，看哪一區最短。</t>
        </is>
      </c>
    </row>
    <row r="60" ht="44" customHeight="1" s="10">
      <c r="A60" s="16" t="inlineStr">
        <is>
          <t>第 4 步</t>
        </is>
      </c>
      <c r="B60" s="16" t="inlineStr">
        <is>
          <t>回頭看沒打勾的項目，「下一步」欄告訴你要去哪一份文件補什麼。</t>
        </is>
      </c>
    </row>
    <row r="61" ht="40" customHeight="1" s="10"/>
    <row r="62" ht="24" customHeight="1" s="10">
      <c r="A62" s="2" t="inlineStr">
        <is>
          <t>六個區塊各在檢查什麼</t>
        </is>
      </c>
    </row>
    <row r="63" ht="26" customHeight="1" s="10">
      <c r="A63" s="14" t="inlineStr">
        <is>
          <t>區塊</t>
        </is>
      </c>
      <c r="B63" s="14" t="inlineStr">
        <is>
          <t>在檢查什麼</t>
        </is>
      </c>
      <c r="C63" s="14" t="inlineStr">
        <is>
          <t>幾項</t>
        </is>
      </c>
    </row>
    <row r="64" ht="32" customHeight="1" s="10">
      <c r="A64" s="16" t="inlineStr">
        <is>
          <t>CV 欄位</t>
        </is>
      </c>
      <c r="B64" s="16" t="inlineStr">
        <is>
          <t>十一個欄位有沒有齊，沒有的欄位不要硬湊。</t>
        </is>
      </c>
      <c r="C64" s="16" t="inlineStr">
        <is>
          <t>11</t>
        </is>
      </c>
    </row>
    <row r="65" ht="32" customHeight="1" s="10">
      <c r="A65" s="16" t="inlineStr">
        <is>
          <t>每段經歷該寫出的七件事</t>
        </is>
      </c>
      <c r="B65" s="16" t="inlineStr">
        <is>
          <t>每一段經歷是不是七件事都寫出來了。</t>
        </is>
      </c>
      <c r="C65" s="16" t="inlineStr">
        <is>
          <t>7</t>
        </is>
      </c>
    </row>
    <row r="66" ht="32" customHeight="1" s="10">
      <c r="A66" s="16" t="inlineStr">
        <is>
          <t>自傳</t>
        </is>
      </c>
      <c r="B66" s="16" t="inlineStr">
        <is>
          <t>自傳有沒有串成一條商業故事線。</t>
        </is>
      </c>
      <c r="C66" s="16" t="inlineStr">
        <is>
          <t>5</t>
        </is>
      </c>
    </row>
    <row r="67" ht="32" customHeight="1" s="10">
      <c r="A67" s="16" t="inlineStr">
        <is>
          <t>送件前五問</t>
        </is>
      </c>
      <c r="B67" s="16" t="inlineStr">
        <is>
          <t>整份備審的自我檢核。</t>
        </is>
      </c>
      <c r="C67" s="16" t="inlineStr">
        <is>
          <t>5</t>
        </is>
      </c>
    </row>
    <row r="68" ht="32" customHeight="1" s="10">
      <c r="A68" s="16" t="inlineStr">
        <is>
          <t>常見失分點</t>
        </is>
      </c>
      <c r="B68" s="16" t="inlineStr">
        <is>
          <t>有沒有踩到最常見的六個扣分寫法。</t>
        </is>
      </c>
      <c r="C68" s="16" t="inlineStr">
        <is>
          <t>6</t>
        </is>
      </c>
    </row>
    <row r="69" ht="32" customHeight="1" s="10">
      <c r="A69" s="16" t="inlineStr">
        <is>
          <t>送出前檢核</t>
        </is>
      </c>
      <c r="B69" s="16" t="inlineStr">
        <is>
          <t>最後那道閘門。這六項沒到就先別送。</t>
        </is>
      </c>
      <c r="C69" s="16" t="inlineStr">
        <is>
          <t>6</t>
        </is>
      </c>
    </row>
    <row r="70" ht="40" customHeight="1" s="10"/>
    <row r="71" ht="24" customHeight="1" s="10">
      <c r="A71" s="2" t="inlineStr">
        <is>
          <t>什麼情況才算 ✓</t>
        </is>
      </c>
    </row>
    <row r="72" ht="32" customHeight="1" s="10">
      <c r="A72" s="22" t="inlineStr">
        <is>
          <t>打勾之前先問自己一句：如果現在有人要我舉出具體例子，我舉得出來嗎。舉得出來才算 ✓，覺得「應該有吧」不算。</t>
        </is>
      </c>
    </row>
    <row r="73" ht="32" customHeight="1" s="10">
      <c r="A73" s="21" t="inlineStr">
        <is>
          <t>這張表只有你自己會看。寬鬆給分唯一的效果，是讓你在口試現場才發現缺口。留白不是失敗，留白就是你接下來的工作清單。</t>
        </is>
      </c>
    </row>
    <row r="74" ht="42" customHeight="1" s="10">
      <c r="A74" s="11" t="inlineStr">
        <is>
          <t>「常見失分點」那一區的語意是相反的：✓ 代表「我確認自己沒有這個問題」。表頭上有標。</t>
        </is>
      </c>
    </row>
    <row r="75" ht="40" customHeight="1" s="10"/>
    <row r="76" ht="24" customHeight="1" s="10">
      <c r="A76" s="2" t="inlineStr">
        <is>
          <t>結果怎麼看</t>
        </is>
      </c>
    </row>
    <row r="77" ht="26" customHeight="1" s="10">
      <c r="A77" s="14" t="inlineStr">
        <is>
          <t>你看到的</t>
        </is>
      </c>
      <c r="B77" s="14" t="inlineStr">
        <is>
          <t>代表什麼</t>
        </is>
      </c>
      <c r="C77" s="14" t="inlineStr">
        <is>
          <t>接下來</t>
        </is>
      </c>
    </row>
    <row r="78" ht="67" customHeight="1" s="10">
      <c r="A78" s="16" t="inlineStr">
        <is>
          <t>幾乎全空</t>
        </is>
      </c>
      <c r="B78" s="16" t="inlineStr">
        <is>
          <t>這不是壞消息，這是你現在的起點。</t>
        </is>
      </c>
      <c r="C78" s="16" t="inlineStr">
        <is>
          <t>從「送出前檢核」那六項往回推，一項對應一件要做的事。</t>
        </is>
      </c>
    </row>
    <row r="79" ht="67" customHeight="1" s="10">
      <c r="A79" s="16" t="inlineStr">
        <is>
          <t>送出前檢核沒滿</t>
        </is>
      </c>
      <c r="B79" s="16" t="inlineStr">
        <is>
          <t>還沒到可以送件的狀態。</t>
        </is>
      </c>
      <c r="C79" s="16" t="inlineStr">
        <is>
          <t>先補那六項，其他五區暫時放著，不要平均用力。</t>
        </is>
      </c>
    </row>
    <row r="80" ht="67" customHeight="1" s="10">
      <c r="A80" s="16" t="inlineStr">
        <is>
          <t>CV 欄位滿了，但七件事那區很空</t>
        </is>
      </c>
      <c r="B80" s="16" t="inlineStr">
        <is>
          <t>你有一份清單，但每一段都沒有厚度。</t>
        </is>
      </c>
      <c r="C80" s="16" t="inlineStr">
        <is>
          <t>挑最重要的兩三段，把七件事補完，其餘的維持條列就好。</t>
        </is>
      </c>
    </row>
    <row r="81" ht="67" customHeight="1" s="10">
      <c r="A81" s="16" t="inlineStr">
        <is>
          <t>七件事都有，但自傳那區空的</t>
        </is>
      </c>
      <c r="B81" s="16" t="inlineStr">
        <is>
          <t>你有素材，但沒有故事線。</t>
        </is>
      </c>
      <c r="C81" s="16" t="inlineStr">
        <is>
          <t>自傳優先。它要回答的是 CV 回答不了的問題。</t>
        </is>
      </c>
    </row>
    <row r="82" ht="67" customHeight="1" s="10">
      <c r="A82" s="16" t="inlineStr">
        <is>
          <t>40 項全滿</t>
        </is>
      </c>
      <c r="B82" s="16" t="inlineStr">
        <is>
          <t>備審這一關到位了。</t>
        </is>
      </c>
      <c r="C82" s="16" t="inlineStr">
        <is>
          <t>把重點移到口試。你寫進去的每一段都可能被逐字追問回來。</t>
        </is>
      </c>
    </row>
    <row r="83" ht="40" customHeight="1" s="10"/>
    <row r="84" ht="24" customHeight="1" s="10">
      <c r="A84" s="2" t="inlineStr">
        <is>
          <t>沒打勾的，去哪裡補</t>
        </is>
      </c>
    </row>
    <row r="85" ht="26" customHeight="1" s="10">
      <c r="A85" s="14" t="inlineStr">
        <is>
          <t>缺的是</t>
        </is>
      </c>
      <c r="B85" s="14" t="inlineStr">
        <is>
          <t>補在哪一份文件</t>
        </is>
      </c>
      <c r="C85" s="14" t="inlineStr">
        <is>
          <t>要補成什麼樣子</t>
        </is>
      </c>
    </row>
    <row r="86" ht="67" customHeight="1" s="10">
      <c r="A86" s="16" t="inlineStr">
        <is>
          <t>經歷只有名稱與職稱</t>
        </is>
      </c>
      <c r="B86" s="16" t="inlineStr">
        <is>
          <t>CV</t>
        </is>
      </c>
      <c r="C86" s="16" t="inlineStr">
        <is>
          <t>每段補七件事：情境、任務、行動、工具、成果、個人貢獻、與方向的關聯。</t>
        </is>
      </c>
    </row>
    <row r="87" ht="67" customHeight="1" s="10">
      <c r="A87" s="16" t="inlineStr">
        <is>
          <t>成果沒有量化</t>
        </is>
      </c>
      <c r="B87" s="16" t="inlineStr">
        <is>
          <t>CV</t>
        </is>
      </c>
      <c r="C87" s="16" t="inlineStr">
        <is>
          <t>能量化就量化：成長幾成、處理多少筆、名次到哪。</t>
        </is>
      </c>
    </row>
    <row r="88" ht="67" customHeight="1" s="10">
      <c r="A88" s="16" t="inlineStr">
        <is>
          <t>看不出一條主軸</t>
        </is>
      </c>
      <c r="B88" s="16" t="inlineStr">
        <is>
          <t>回經歷盤點</t>
        </is>
      </c>
      <c r="C88" s="16" t="inlineStr">
        <is>
          <t>先做完盤點三問，主線是從那裡長出來的，不是先想好再套。</t>
        </is>
      </c>
    </row>
    <row r="89" ht="67" customHeight="1" s="10">
      <c r="A89" s="16" t="inlineStr">
        <is>
          <t>自傳在重述 CV</t>
        </is>
      </c>
      <c r="B89" s="16" t="inlineStr">
        <is>
          <t>自傳</t>
        </is>
      </c>
      <c r="C89" s="16" t="inlineStr">
        <is>
          <t>挑兩三段講深，補上動機、轉折與脈絡。</t>
        </is>
      </c>
    </row>
    <row r="90" ht="67" customHeight="1" s="10">
      <c r="A90" s="16" t="inlineStr">
        <is>
          <t>成績弱項沒交代</t>
        </is>
      </c>
      <c r="B90" s="16" t="inlineStr">
        <is>
          <t>自傳</t>
        </is>
      </c>
      <c r="C90" s="16" t="inlineStr">
        <is>
          <t>主動說明一句，不要等委員自己發現。</t>
        </is>
      </c>
    </row>
    <row r="91" ht="67" customHeight="1" s="10">
      <c r="A91" s="16" t="inlineStr">
        <is>
          <t>研究計畫沒有伏筆</t>
        </is>
      </c>
      <c r="B91" s="16" t="inlineStr">
        <is>
          <t>研究計畫與 CV</t>
        </is>
      </c>
      <c r="C91" s="16" t="inlineStr">
        <is>
          <t>計畫的方向要在經歷裡看得到線索。看不到就改其中一邊。</t>
        </is>
      </c>
    </row>
    <row r="92" ht="67" customHeight="1" s="10">
      <c r="A92" s="16" t="inlineStr">
        <is>
          <t>推薦人資訊不足</t>
        </is>
      </c>
      <c r="B92" s="16" t="inlineStr">
        <is>
          <t>推薦人手上的材料</t>
        </is>
      </c>
      <c r="C92" s="16" t="inlineStr">
        <is>
          <t>把 CV 與計畫初稿寄給推薦人，附上申請校所清單與截止日。</t>
        </is>
      </c>
    </row>
    <row r="93" ht="67" customHeight="1" s="10">
      <c r="A93" s="16" t="inlineStr">
        <is>
          <t>每間學校用同一份</t>
        </is>
      </c>
      <c r="B93" s="16" t="inlineStr">
        <is>
          <t>各校版本</t>
        </is>
      </c>
      <c r="C93" s="16" t="inlineStr">
        <is>
          <t>至少調整 Research Interests 與自傳的最後一段。</t>
        </is>
      </c>
    </row>
    <row r="94" ht="42" customHeight="1" s="10">
      <c r="A94" s="11" t="inlineStr">
        <is>
          <t>要寫成完整文字的部分都在另外幾份表，這裡只負責告訴你缺什麼。</t>
        </is>
      </c>
    </row>
    <row r="95" ht="40" customHeight="1" s="10"/>
    <row r="96" ht="24" customHeight="1" s="10">
      <c r="A96" s="2" t="inlineStr">
        <is>
          <t>卡關時</t>
        </is>
      </c>
    </row>
    <row r="97" ht="26" customHeight="1" s="10">
      <c r="A97" s="14" t="inlineStr">
        <is>
          <t>狀況</t>
        </is>
      </c>
      <c r="B97" s="14" t="inlineStr">
        <is>
          <t>怎麼辦</t>
        </is>
      </c>
    </row>
    <row r="98" ht="72" customHeight="1" s="10">
      <c r="A98" s="16" t="inlineStr">
        <is>
          <t>經歷寫「參與行銷競賽」「擔任社團幹部」可以嗎</t>
        </is>
      </c>
      <c r="B98" s="16" t="inlineStr">
        <is>
          <t>太籠統，教授看不出你實際做了什麼。差別在於前者只有標籤，後者有情境、行動、工具與成果，而且只有真的做過的人寫得出來。</t>
        </is>
      </c>
    </row>
    <row r="99" ht="72" customHeight="1" s="10">
      <c r="A99" s="16" t="inlineStr">
        <is>
          <t>我的實習、競賽和研究方向不一樣，會不會很雜</t>
        </is>
      </c>
      <c r="B99" s="16" t="inlineStr">
        <is>
          <t>不一定是壞事，關鍵在你能不能說出它們共同證明了什麼能力。真正扣分的是完全不解釋，讓教授自己去猜。</t>
        </is>
      </c>
    </row>
    <row r="100" ht="72" customHeight="1" s="10">
      <c r="A100" s="16" t="inlineStr">
        <is>
          <t>自傳和 CV 內容重複怎麼辦</t>
        </is>
      </c>
      <c r="B100" s="16" t="inlineStr">
        <is>
          <t>分工不同。CV 回答「你做過什麼」，自傳回答「你為什麼走到這裡、為什麼是這個校所」。自傳要補上條列式清單裝不下的部分。</t>
        </is>
      </c>
    </row>
    <row r="101" ht="72" customHeight="1" s="10">
      <c r="A101" s="16" t="inlineStr">
        <is>
          <t>CV 有幾個欄位我完全沒東西</t>
        </is>
      </c>
      <c r="B101" s="16" t="inlineStr">
        <is>
          <t>沒有的欄位就不要硬湊。硬撐的 CV 比空一點的 CV 更容易被看穿。</t>
        </is>
      </c>
    </row>
    <row r="102" ht="72" customHeight="1" s="10">
      <c r="A102" s="16" t="inlineStr">
        <is>
          <t>七件事對每一段都寫，會不會太長</t>
        </is>
      </c>
      <c r="B102" s="16" t="inlineStr">
        <is>
          <t>不用每段都寫。挑最能支撐申請方向的兩三段寫深，其餘維持條列。</t>
        </is>
      </c>
    </row>
    <row r="103" ht="72" customHeight="1" s="10">
      <c r="A103" s="16" t="inlineStr">
        <is>
          <t>兩次打出來的數字一樣</t>
        </is>
      </c>
      <c r="B103" s="16" t="inlineStr">
        <is>
          <t>檢查一下是不是這段時間都在寫內容、沒有回頭處理缺口。內容寫得再多，缺的那幾項還是缺。</t>
        </is>
      </c>
    </row>
    <row r="104" ht="40" customHeight="1" s="10"/>
    <row r="105" ht="14" customHeight="1" s="10">
      <c r="A105" s="5" t="n"/>
      <c r="B105" s="5" t="n"/>
      <c r="C105" s="5" t="n"/>
      <c r="D105" s="5" t="n"/>
      <c r="E105" s="5" t="n"/>
      <c r="F105" s="5" t="n"/>
    </row>
    <row r="106" ht="28" customHeight="1" s="10">
      <c r="A106" s="6" t="inlineStr">
        <is>
          <t># 搭配文章：商管與財經研究所備審：用 CV、自傳與商業故事線整合零散經歷　https://tbd-edu.com/pages/resources/business-graduate-cv.html</t>
        </is>
      </c>
    </row>
    <row r="107" ht="28" customHeight="1" s="10">
      <c r="A107" s="6" t="inlineStr">
        <is>
          <t># TBD Studio ｜ https://tbd-edu.com/</t>
        </is>
      </c>
    </row>
  </sheetData>
  <mergeCells count="15">
    <mergeCell ref="A73:F73"/>
    <mergeCell ref="A2:F2"/>
    <mergeCell ref="A11:F11"/>
    <mergeCell ref="A28:F28"/>
    <mergeCell ref="A46:F46"/>
    <mergeCell ref="A13:F13"/>
    <mergeCell ref="A94:F94"/>
    <mergeCell ref="A27:F27"/>
    <mergeCell ref="A31:F31"/>
    <mergeCell ref="A74:F74"/>
    <mergeCell ref="A40:F40"/>
    <mergeCell ref="A12:F12"/>
    <mergeCell ref="A20:F20"/>
    <mergeCell ref="A72:F72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zoomScale="75" workbookViewId="0">
      <pane ySplit="2" topLeftCell="A15" activePane="bottomLeft" state="frozen"/>
      <selection pane="bottomLeft" activeCell="A24" sqref="A24:XFD24"/>
    </sheetView>
  </sheetViews>
  <sheetFormatPr baseColWidth="10" defaultColWidth="9" defaultRowHeight="14"/>
  <cols>
    <col width="41.59765625" customWidth="1" style="10" min="1" max="1"/>
    <col width="51.19921875" customWidth="1" style="10" min="2" max="2"/>
    <col width="44.796875" customWidth="1" style="10" min="3" max="3"/>
    <col width="48" customWidth="1" style="10" min="4" max="4"/>
    <col width="12" customWidth="1" style="10" min="5" max="6"/>
  </cols>
  <sheetData>
    <row r="1" ht="30" customHeight="1" s="10">
      <c r="A1" s="1" t="inlineStr">
        <is>
          <t>商管與財經｜備審檢核表　v1</t>
        </is>
      </c>
    </row>
    <row r="2" ht="28" customHeight="1" s="10">
      <c r="A2" s="20" t="inlineStr">
        <is>
          <t>唯一要寫字的地方，而且只寫關鍵字。排版之前先做這一頁。淡黃色的儲存格是要你填或勾的，其餘是給你讀的。</t>
        </is>
      </c>
    </row>
    <row r="3" ht="40" customHeight="1" s="10"/>
    <row r="4" ht="24" customHeight="1" s="10">
      <c r="A4" s="2" t="inlineStr">
        <is>
          <t>一、經歷盤點</t>
        </is>
      </c>
    </row>
    <row r="5" ht="32" customHeight="1" s="10">
      <c r="A5" s="22" t="inlineStr">
        <is>
          <t>把所有經歷攤開，先不管重不重要。每一段回答三個問題，答不出第三欄的，放在次要位置就好。</t>
        </is>
      </c>
    </row>
    <row r="6" ht="40" customHeight="1" s="10"/>
    <row r="7" ht="26" customHeight="1" s="10">
      <c r="A7" s="14" t="inlineStr">
        <is>
          <t>經歷</t>
        </is>
      </c>
      <c r="B7" s="14" t="inlineStr">
        <is>
          <t>我實際負責什麼</t>
        </is>
      </c>
      <c r="C7" s="14" t="inlineStr">
        <is>
          <t>證明了哪種能力</t>
        </is>
      </c>
      <c r="D7" s="14" t="inlineStr">
        <is>
          <t>與申請方向的關聯</t>
        </is>
      </c>
    </row>
    <row r="8" ht="54" customHeight="1" s="10">
      <c r="A8" s="17" t="n"/>
      <c r="B8" s="17" t="n"/>
      <c r="C8" s="17" t="n"/>
      <c r="D8" s="17" t="n"/>
    </row>
    <row r="9" ht="54" customHeight="1" s="10">
      <c r="A9" s="17" t="n"/>
      <c r="B9" s="17" t="n"/>
      <c r="C9" s="17" t="n"/>
      <c r="D9" s="17" t="n"/>
    </row>
    <row r="10" ht="54" customHeight="1" s="10">
      <c r="A10" s="17" t="n"/>
      <c r="B10" s="17" t="n"/>
      <c r="C10" s="17" t="n"/>
      <c r="D10" s="17" t="n"/>
    </row>
    <row r="11" ht="54" customHeight="1" s="10">
      <c r="A11" s="17" t="n"/>
      <c r="B11" s="17" t="n"/>
      <c r="C11" s="17" t="n"/>
      <c r="D11" s="17" t="n"/>
    </row>
    <row r="12" ht="54" customHeight="1" s="10">
      <c r="A12" s="17" t="n"/>
      <c r="B12" s="17" t="n"/>
      <c r="C12" s="17" t="n"/>
      <c r="D12" s="17" t="n"/>
    </row>
    <row r="13" ht="54" customHeight="1" s="10">
      <c r="A13" s="17" t="n"/>
      <c r="B13" s="17" t="n"/>
      <c r="C13" s="17" t="n"/>
      <c r="D13" s="17" t="n"/>
    </row>
    <row r="14" ht="54" customHeight="1" s="10">
      <c r="A14" s="17" t="n"/>
      <c r="B14" s="17" t="n"/>
      <c r="C14" s="17" t="n"/>
      <c r="D14" s="17" t="n"/>
    </row>
    <row r="15" ht="54" customHeight="1" s="10">
      <c r="A15" s="17" t="n"/>
      <c r="B15" s="17" t="n"/>
      <c r="C15" s="17" t="n"/>
      <c r="D15" s="17" t="n"/>
    </row>
    <row r="16" ht="54" customHeight="1" s="10">
      <c r="A16" s="17" t="n"/>
      <c r="B16" s="17" t="n"/>
      <c r="C16" s="17" t="n"/>
      <c r="D16" s="17" t="n"/>
    </row>
    <row r="17" ht="54" customHeight="1" s="10">
      <c r="A17" s="17" t="n"/>
      <c r="B17" s="17" t="n"/>
      <c r="C17" s="17" t="n"/>
      <c r="D17" s="17" t="n"/>
    </row>
    <row r="18" ht="29" customHeight="1" s="10">
      <c r="A18" s="11" t="inlineStr">
        <is>
          <t>順序是：經歷盤點，主題分類，能力證據，申請方向連結。這一步做完，故事線是長出來的；跳過這一步，故事線就是編出來的。</t>
        </is>
      </c>
    </row>
    <row r="19" ht="29" customHeight="1" s="10">
      <c r="A19" s="11" t="n"/>
    </row>
    <row r="20" ht="40" customHeight="1" s="10"/>
    <row r="21" ht="24" customHeight="1" s="10">
      <c r="A21" s="2" t="inlineStr">
        <is>
          <t>我的主線（一句話）</t>
        </is>
      </c>
    </row>
    <row r="22" ht="26" customHeight="1" s="10">
      <c r="A22" s="14" t="inlineStr">
        <is>
          <t>句型</t>
        </is>
      </c>
      <c r="B22" s="15" t="n"/>
      <c r="C22" s="14" t="inlineStr">
        <is>
          <t>我的內容</t>
        </is>
      </c>
      <c r="D22" s="15" t="n"/>
    </row>
    <row r="23" ht="70" customHeight="1" s="10">
      <c r="A23" s="16" t="inlineStr">
        <is>
          <t>這幾段經歷共同證明的是我＿＿的能力，而這正是我想在研究所繼續處理的問題。</t>
        </is>
      </c>
      <c r="B23" s="15" t="n"/>
      <c r="C23" s="17" t="n"/>
      <c r="D23" s="15" t="n"/>
    </row>
    <row r="24" ht="42" customHeight="1" s="10">
      <c r="A24" s="11" t="inlineStr">
        <is>
          <t>寫得出這句話，自傳的故事線就有了。寫不出來，代表盤點還沒做完。</t>
        </is>
      </c>
    </row>
    <row r="25" ht="42" customHeight="1" s="10">
      <c r="A25" s="11" t="inlineStr">
        <is>
          <t>填完切到「檢核表」分頁。</t>
        </is>
      </c>
    </row>
    <row r="26" ht="14" customHeight="1" s="10"/>
    <row r="27" ht="28" customHeight="1" s="10">
      <c r="A27" s="6" t="inlineStr">
        <is>
          <t># 搭配文章：商管與財經研究所備審：用 CV、自傳與商業故事線整合零散經歷　https://tbd-edu.com/pages/resources/business-graduate-cv.html</t>
        </is>
      </c>
    </row>
    <row r="28" ht="28" customHeight="1" s="10">
      <c r="A28" s="6" t="inlineStr">
        <is>
          <t># TBD Studio ｜ https://tbd-edu.com/</t>
        </is>
      </c>
    </row>
  </sheetData>
  <mergeCells count="10">
    <mergeCell ref="A5:D5"/>
    <mergeCell ref="A18:D18"/>
    <mergeCell ref="A25:D25"/>
    <mergeCell ref="A24:D24"/>
    <mergeCell ref="A19:D19"/>
    <mergeCell ref="A23:B23"/>
    <mergeCell ref="A2:D2"/>
    <mergeCell ref="C22:D22"/>
    <mergeCell ref="C23:D23"/>
    <mergeCell ref="A22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showGridLines="0" zoomScale="75" workbookViewId="0">
      <pane ySplit="2" topLeftCell="A3" activePane="bottomLeft" state="frozen"/>
      <selection pane="bottomLeft" activeCell="D73" sqref="D73"/>
    </sheetView>
  </sheetViews>
  <sheetFormatPr baseColWidth="10" defaultColWidth="9" defaultRowHeight="14"/>
  <cols>
    <col width="39.59765625" customWidth="1" style="10" min="1" max="1"/>
    <col width="32" customWidth="1" style="10" min="2" max="2"/>
    <col width="18.19921875" customWidth="1" style="10" min="3" max="3"/>
    <col width="70" customWidth="1" style="10" min="4" max="4"/>
    <col width="12" customWidth="1" style="10" min="5" max="6"/>
  </cols>
  <sheetData>
    <row r="1" ht="30" customHeight="1" s="10">
      <c r="A1" s="1" t="inlineStr">
        <is>
          <t>商管與財經｜備審檢核表　v1</t>
        </is>
      </c>
    </row>
    <row r="2" ht="28" customHeight="1" s="10">
      <c r="A2" s="20" t="inlineStr">
        <is>
          <t>6 區共 40 項。舉得出具體例子才打 ✓，「應該有吧」留白。判準見「先讀這裡」分頁。淡黃色的儲存格是要你填或勾的，其餘是給你讀的。</t>
        </is>
      </c>
    </row>
    <row r="3" ht="40" customHeight="1" s="10"/>
    <row r="4" ht="24" customHeight="1" s="10">
      <c r="A4" s="2" t="inlineStr">
        <is>
          <t>第 1 區　CV 欄位（11 項）</t>
        </is>
      </c>
    </row>
    <row r="5" ht="26" customHeight="1" s="10">
      <c r="A5" s="14" t="inlineStr">
        <is>
          <t>檢核項目</t>
        </is>
      </c>
      <c r="B5" s="15" t="n"/>
      <c r="C5" s="14" t="inlineStr">
        <is>
          <t>確認</t>
        </is>
      </c>
      <c r="D5" s="14" t="inlineStr">
        <is>
          <t>沒打勾的話，下一步</t>
        </is>
      </c>
    </row>
    <row r="6" ht="55" customHeight="1" s="10">
      <c r="A6" s="16" t="inlineStr">
        <is>
          <t>Education（系排或 GPA 若有優勢可附）</t>
        </is>
      </c>
      <c r="B6" s="15" t="n"/>
      <c r="C6" s="17" t="n"/>
      <c r="D6" s="16" t="inlineStr">
        <is>
          <t>學校、系所、預計畢業時間。沒有優勢的數字就不要放。</t>
        </is>
      </c>
    </row>
    <row r="7" ht="55" customHeight="1" s="10">
      <c r="A7" s="16" t="inlineStr">
        <is>
          <t>Research Interests</t>
        </is>
      </c>
      <c r="B7" s="15" t="n"/>
      <c r="C7" s="17" t="n"/>
      <c r="D7" s="16" t="inlineStr">
        <is>
          <t>兩三行說明研究興趣方向，讓教授一眼看出契合度。這一欄要逐校調整。</t>
        </is>
      </c>
    </row>
    <row r="8" ht="55" customHeight="1" s="10">
      <c r="A8" s="16" t="inlineStr">
        <is>
          <t>Internship Experience</t>
        </is>
      </c>
      <c r="B8" s="15" t="n"/>
      <c r="C8" s="17" t="n"/>
      <c r="D8" s="16" t="inlineStr">
        <is>
          <t>實習單位、部門、期間、你負責的工作與成果。</t>
        </is>
      </c>
    </row>
    <row r="9" ht="55" customHeight="1" s="10">
      <c r="A9" s="16" t="inlineStr">
        <is>
          <t>Project Experience</t>
        </is>
      </c>
      <c r="B9" s="15" t="n"/>
      <c r="C9" s="17" t="n"/>
      <c r="D9" s="16" t="inlineStr">
        <is>
          <t>課程專題、產學專案、自主研究或資料分析作品。</t>
        </is>
      </c>
    </row>
    <row r="10" ht="55" customHeight="1" s="10">
      <c r="A10" s="16" t="inlineStr">
        <is>
          <t>Competition Experience</t>
        </is>
      </c>
      <c r="B10" s="15" t="n"/>
      <c r="C10" s="17" t="n"/>
      <c r="D10" s="16" t="inlineStr">
        <is>
          <t>商業個案、行銷、創業、金融或資料競賽。</t>
        </is>
      </c>
    </row>
    <row r="11" ht="55" customHeight="1" s="10">
      <c r="A11" s="16" t="inlineStr">
        <is>
          <t>Leadership &amp; Activities</t>
        </is>
      </c>
      <c r="B11" s="15" t="n"/>
      <c r="C11" s="17" t="n"/>
      <c r="D11" s="16" t="inlineStr">
        <is>
          <t>社團、系學會、志工。有實質帶領或執行成果的才列。</t>
        </is>
      </c>
    </row>
    <row r="12" ht="55" customHeight="1" s="10">
      <c r="A12" s="16" t="inlineStr">
        <is>
          <t>Data 或 Technical Skills</t>
        </is>
      </c>
      <c r="B12" s="15" t="n"/>
      <c r="C12" s="17" t="n"/>
      <c r="D12" s="16" t="inlineStr">
        <is>
          <t>Excel 進階、SQL、Python、R、SPSS、Stata、Tableau 或 Power BI。獨立成一個區塊。</t>
        </is>
      </c>
    </row>
    <row r="13" ht="55" customHeight="1" s="10">
      <c r="A13" s="16" t="inlineStr">
        <is>
          <t>Language Skills</t>
        </is>
      </c>
      <c r="B13" s="15" t="n"/>
      <c r="C13" s="17" t="n"/>
      <c r="D13" s="16" t="inlineStr">
        <is>
          <t>英文檢定成績與其他語言能力。</t>
        </is>
      </c>
    </row>
    <row r="14" ht="55" customHeight="1" s="10">
      <c r="A14" s="16" t="inlineStr">
        <is>
          <t>Certifications（僅保留真正相關者）</t>
        </is>
      </c>
      <c r="B14" s="15" t="n"/>
      <c r="C14" s="17" t="n"/>
      <c r="D14" s="16" t="inlineStr">
        <is>
          <t>不相關的證照拿掉，它們只會稀釋密度。</t>
        </is>
      </c>
    </row>
    <row r="15" ht="55" customHeight="1" s="10">
      <c r="A15" s="16" t="inlineStr">
        <is>
          <t>Awards</t>
        </is>
      </c>
      <c r="B15" s="15" t="n"/>
      <c r="C15" s="17" t="n"/>
      <c r="D15" s="16" t="inlineStr">
        <is>
          <t>與學業、競賽或研究相關的獎項。</t>
        </is>
      </c>
    </row>
    <row r="16" ht="55" customHeight="1" s="10">
      <c r="A16" s="16" t="inlineStr">
        <is>
          <t>Publications 或 Presentations（如有）</t>
        </is>
      </c>
      <c r="B16" s="15" t="n"/>
      <c r="C16" s="17" t="n"/>
      <c r="D16" s="16" t="inlineStr">
        <is>
          <t>論文、研討會報告或公開發表的分析報告。沒有就跳過。</t>
        </is>
      </c>
    </row>
    <row r="17" ht="42" customHeight="1" s="10">
      <c r="A17" s="11" t="inlineStr">
        <is>
          <t>欄位不是越多越好，沒有的欄位不要硬湊。把最能支撐申請方向的欄位往前放。</t>
        </is>
      </c>
    </row>
    <row r="18" ht="40" customHeight="1" s="10"/>
    <row r="19" ht="24" customHeight="1" s="10">
      <c r="A19" s="2" t="inlineStr">
        <is>
          <t>第 2 區　每段經歷該寫出的七件事（7 項）</t>
        </is>
      </c>
    </row>
    <row r="20" ht="26" customHeight="1" s="10">
      <c r="A20" s="14" t="inlineStr">
        <is>
          <t>檢核項目</t>
        </is>
      </c>
      <c r="B20" s="15" t="n"/>
      <c r="C20" s="14" t="inlineStr">
        <is>
          <t>確認</t>
        </is>
      </c>
      <c r="D20" s="14" t="inlineStr">
        <is>
          <t>沒打勾的話，下一步</t>
        </is>
      </c>
    </row>
    <row r="21" ht="55" customHeight="1" s="10">
      <c r="A21" s="16" t="inlineStr">
        <is>
          <t>情境（組織或專案當時的狀況）</t>
        </is>
      </c>
      <c r="B21" s="15" t="n"/>
      <c r="C21" s="17" t="n"/>
      <c r="D21" s="16" t="inlineStr">
        <is>
          <t>這個組織或專案當時面對什麼狀況或問題。</t>
        </is>
      </c>
    </row>
    <row r="22" ht="55" customHeight="1" s="10">
      <c r="A22" s="16" t="inlineStr">
        <is>
          <t>任務（你的目標）</t>
        </is>
      </c>
      <c r="B22" s="15" t="n"/>
      <c r="C22" s="17" t="n"/>
      <c r="D22" s="16" t="inlineStr">
        <is>
          <t>你被賦予或自己設定的目標是什麼。</t>
        </is>
      </c>
    </row>
    <row r="23" ht="55" customHeight="1" s="10">
      <c r="A23" s="16" t="inlineStr">
        <is>
          <t>行動（你實際做了什麼）</t>
        </is>
      </c>
      <c r="B23" s="15" t="n"/>
      <c r="C23" s="17" t="n"/>
      <c r="D23" s="16" t="inlineStr">
        <is>
          <t>你實際做了哪些事，過程如何推進。</t>
        </is>
      </c>
    </row>
    <row r="24" ht="55" customHeight="1" s="10">
      <c r="A24" s="16" t="inlineStr">
        <is>
          <t>工具（問卷、訪談、財務模型、SQL、統計分析）</t>
        </is>
      </c>
      <c r="B24" s="15" t="n"/>
      <c r="C24" s="17" t="n"/>
      <c r="D24" s="16" t="inlineStr">
        <is>
          <t>用了哪些方法或工具。這一項最能看出你做的是分析還是排版。</t>
        </is>
      </c>
    </row>
    <row r="25" ht="55" customHeight="1" s="10">
      <c r="A25" s="16" t="inlineStr">
        <is>
          <t>成果（能量化就量化）</t>
        </is>
      </c>
      <c r="B25" s="15" t="n"/>
      <c r="C25" s="17" t="n"/>
      <c r="D25" s="16" t="inlineStr">
        <is>
          <t>結果是什麼。成長幾成、處理多少筆、名次到哪。</t>
        </is>
      </c>
    </row>
    <row r="26" ht="55" customHeight="1" s="10">
      <c r="A26" s="16" t="inlineStr">
        <is>
          <t>個人貢獻（團隊專案中哪一塊是你）</t>
        </is>
      </c>
      <c r="B26" s="15" t="n"/>
      <c r="C26" s="17" t="n"/>
      <c r="D26" s="16" t="inlineStr">
        <is>
          <t>誇大角色在口試會被追問到細節，講不出來反而傷可信度。</t>
        </is>
      </c>
    </row>
    <row r="27" ht="55" customHeight="1" s="10">
      <c r="A27" s="16" t="inlineStr">
        <is>
          <t>與申請方向的關聯</t>
        </is>
      </c>
      <c r="B27" s="15" t="n"/>
      <c r="C27" s="17" t="n"/>
      <c r="D27" s="16" t="inlineStr">
        <is>
          <t>這段經歷指向你想研究或發展的哪個方向。</t>
        </is>
      </c>
    </row>
    <row r="28" ht="42" customHeight="1" s="10">
      <c r="A28" s="11" t="inlineStr">
        <is>
          <t>不用每段都寫七件事。挑最能支撐申請方向的兩三段寫深，其餘維持條列就好。</t>
        </is>
      </c>
    </row>
    <row r="29" ht="40" customHeight="1" s="10"/>
    <row r="30" ht="24" customHeight="1" s="10">
      <c r="A30" s="2" t="inlineStr">
        <is>
          <t>第 3 區　自傳（5 項）</t>
        </is>
      </c>
    </row>
    <row r="31" ht="26" customHeight="1" s="10">
      <c r="A31" s="14" t="inlineStr">
        <is>
          <t>檢核項目</t>
        </is>
      </c>
      <c r="B31" s="15" t="n"/>
      <c r="C31" s="14" t="inlineStr">
        <is>
          <t>確認</t>
        </is>
      </c>
      <c r="D31" s="14" t="inlineStr">
        <is>
          <t>沒打勾的話，下一步</t>
        </is>
      </c>
    </row>
    <row r="32" ht="55" customHeight="1" s="10">
      <c r="A32" s="16" t="inlineStr">
        <is>
          <t>我的興趣是怎麼形成的</t>
        </is>
      </c>
      <c r="B32" s="15" t="n"/>
      <c r="C32" s="17" t="n"/>
      <c r="D32" s="16" t="inlineStr">
        <is>
          <t>具體的轉折點，而不是「從小就有興趣」。</t>
        </is>
      </c>
    </row>
    <row r="33" ht="55" customHeight="1" s="10">
      <c r="A33" s="16" t="inlineStr">
        <is>
          <t>為什麼選擇這個領域</t>
        </is>
      </c>
      <c r="B33" s="15" t="n"/>
      <c r="C33" s="17" t="n"/>
      <c r="D33" s="16" t="inlineStr">
        <is>
          <t>在企管、財金、行銷、資管、商業分析之中，你為什麼被這一塊吸引。</t>
        </is>
      </c>
    </row>
    <row r="34" ht="55" customHeight="1" s="10">
      <c r="A34" s="16" t="inlineStr">
        <is>
          <t>哪兩三段經歷最能證明我的能力</t>
        </is>
      </c>
      <c r="B34" s="15" t="n"/>
      <c r="C34" s="17" t="n"/>
      <c r="D34" s="16" t="inlineStr">
        <is>
          <t>講深，不要複述整份 CV。</t>
        </is>
      </c>
    </row>
    <row r="35" ht="55" customHeight="1" s="10">
      <c r="A35" s="16" t="inlineStr">
        <is>
          <t>為什麼申請這個校所</t>
        </is>
      </c>
      <c r="B35" s="15" t="n"/>
      <c r="C35" s="17" t="n"/>
      <c r="D35" s="16" t="inlineStr">
        <is>
          <t>讀過這個系所的課程規劃或哪幾位教授的研究嗎？你的方向和它具體接在哪裡。</t>
        </is>
      </c>
    </row>
    <row r="36" ht="55" customHeight="1" s="10">
      <c r="A36" s="16" t="inlineStr">
        <is>
          <t>我未來要往哪裡發展</t>
        </is>
      </c>
      <c r="B36" s="15" t="n"/>
      <c r="C36" s="17" t="n"/>
      <c r="D36" s="16" t="inlineStr">
        <is>
          <t>給教授一個方向感，讓他看見你的動機是延續的。</t>
        </is>
      </c>
    </row>
    <row r="37" ht="42" customHeight="1" s="10">
      <c r="A37" s="11" t="inlineStr">
        <is>
          <t>把這五個問題串起來就是商業故事線：一個起點、一段累積、一個方向。這條線不需要戲劇性，但需要一致。</t>
        </is>
      </c>
    </row>
    <row r="38" ht="40" customHeight="1" s="10"/>
    <row r="39" ht="24" customHeight="1" s="10">
      <c r="A39" s="2" t="inlineStr">
        <is>
          <t>第 4 區　送件前五問（5 項）</t>
        </is>
      </c>
    </row>
    <row r="40" ht="26" customHeight="1" s="10">
      <c r="A40" s="14" t="inlineStr">
        <is>
          <t>檢核項目</t>
        </is>
      </c>
      <c r="B40" s="15" t="n"/>
      <c r="C40" s="14" t="inlineStr">
        <is>
          <t>確認</t>
        </is>
      </c>
      <c r="D40" s="14" t="inlineStr">
        <is>
          <t>沒打勾的話，下一步</t>
        </is>
      </c>
    </row>
    <row r="41" ht="55" customHeight="1" s="10">
      <c r="A41" s="16" t="inlineStr">
        <is>
          <t>我的 CV 能不能在 30 秒內看出主軸？</t>
        </is>
      </c>
      <c r="B41" s="15" t="n"/>
      <c r="C41" s="17" t="n"/>
      <c r="D41" s="16" t="inlineStr">
        <is>
          <t>抓不到重點就重排欄位順序，把支撐申請方向的往前放。</t>
        </is>
      </c>
    </row>
    <row r="42" ht="55" customHeight="1" s="10">
      <c r="A42" s="16" t="inlineStr">
        <is>
          <t>每段經歷是否都有具體成果與個人貢獻？</t>
        </is>
      </c>
      <c r="B42" s="15" t="n"/>
      <c r="C42" s="17" t="n"/>
      <c r="D42" s="16" t="inlineStr">
        <is>
          <t>回第 2 區的第五、六項確認。</t>
        </is>
      </c>
    </row>
    <row r="43" ht="55" customHeight="1" s="10">
      <c r="A43" s="16" t="inlineStr">
        <is>
          <t>自傳是否形成清楚的故事線？</t>
        </is>
      </c>
      <c r="B43" s="15" t="n"/>
      <c r="C43" s="17" t="n"/>
      <c r="D43" s="16" t="inlineStr">
        <is>
          <t>轉折可以有，跳躍不行。跳躍的地方要補一句說明。</t>
        </is>
      </c>
    </row>
    <row r="44" ht="55" customHeight="1" s="10">
      <c r="A44" s="16" t="inlineStr">
        <is>
          <t>研究計畫是否與過去經歷、未來方向一致？</t>
        </is>
      </c>
      <c r="B44" s="15" t="n"/>
      <c r="C44" s="17" t="n"/>
      <c r="D44" s="16" t="inlineStr">
        <is>
          <t>計畫的方向要在 CV 裡找得到伏筆。</t>
        </is>
      </c>
    </row>
    <row r="45" ht="55" customHeight="1" s="10">
      <c r="A45" s="16" t="inlineStr">
        <is>
          <t>是否針對不同校所調整過版本？</t>
        </is>
      </c>
      <c r="B45" s="15" t="n"/>
      <c r="C45" s="17" t="n"/>
      <c r="D45" s="16" t="inlineStr">
        <is>
          <t>至少調整 Research Interests 與自傳的最後一段。</t>
        </is>
      </c>
    </row>
    <row r="46" ht="40" customHeight="1" s="10"/>
    <row r="47" ht="24" customHeight="1" s="10">
      <c r="A47" s="2" t="inlineStr">
        <is>
          <t>第 5 區　常見失分點（6 項　✓ 代表我沒有這個問題）</t>
        </is>
      </c>
    </row>
    <row r="48" ht="26" customHeight="1" s="10">
      <c r="A48" s="14" t="inlineStr">
        <is>
          <t>檢核項目</t>
        </is>
      </c>
      <c r="B48" s="15" t="n"/>
      <c r="C48" s="14" t="inlineStr">
        <is>
          <t>確認</t>
        </is>
      </c>
      <c r="D48" s="14" t="inlineStr">
        <is>
          <t>沒打勾的話，下一步</t>
        </is>
      </c>
    </row>
    <row r="49" ht="55" customHeight="1" s="10">
      <c r="A49" s="16" t="inlineStr">
        <is>
          <t>經歷列成清單，看不出一條職涯或研究主軸</t>
        </is>
      </c>
      <c r="B49" s="15" t="n"/>
      <c r="C49" s="17" t="n"/>
      <c r="D49" s="16" t="inlineStr">
        <is>
          <t>回經歷盤點，把三個問題答完，主線是從那裡長出來的。</t>
        </is>
      </c>
    </row>
    <row r="50" ht="55" customHeight="1" s="10">
      <c r="A50" s="16" t="inlineStr">
        <is>
          <t>實習與競賽只寫做過什麼，沒有寫產出與量化結果</t>
        </is>
      </c>
      <c r="B50" s="15" t="n"/>
      <c r="C50" s="17" t="n"/>
      <c r="D50" s="16" t="inlineStr">
        <is>
          <t>補成果那一項，能量化就量化。</t>
        </is>
      </c>
    </row>
    <row r="51" ht="55" customHeight="1" s="10">
      <c r="A51" s="16" t="inlineStr">
        <is>
          <t>把社團幹部寫成領導力宣稱，沒有可驗證的事件</t>
        </is>
      </c>
      <c r="B51" s="15" t="n"/>
      <c r="C51" s="17" t="n"/>
      <c r="D51" s="16" t="inlineStr">
        <is>
          <t>改寫成帶了幾個人、改了什麼流程、結果變化多少。</t>
        </is>
      </c>
    </row>
    <row r="52" ht="55" customHeight="1" s="10">
      <c r="A52" s="16" t="inlineStr">
        <is>
          <t>CV 與自傳重複同一段內容，沒有分工</t>
        </is>
      </c>
      <c r="B52" s="15" t="n"/>
      <c r="C52" s="17" t="n"/>
      <c r="D52" s="16" t="inlineStr">
        <is>
          <t>CV 留事實，自傳留動機與轉折。同一段經驗可以都出現，但角度要不同。</t>
        </is>
      </c>
    </row>
    <row r="53" ht="55" customHeight="1" s="10">
      <c r="A53" s="16" t="inlineStr">
        <is>
          <t>成績單上的弱項完全不提，讓委員自己去發現</t>
        </is>
      </c>
      <c r="B53" s="15" t="n"/>
      <c r="C53" s="17" t="n"/>
      <c r="D53" s="16" t="inlineStr">
        <is>
          <t>主動說明一句就好，不需要長篇解釋。</t>
        </is>
      </c>
    </row>
    <row r="54" ht="55" customHeight="1" s="10">
      <c r="A54" s="16" t="inlineStr">
        <is>
          <t>研究計畫的方向在 CV 與自傳裡找不到任何伏筆</t>
        </is>
      </c>
      <c r="B54" s="15" t="n"/>
      <c r="C54" s="17" t="n"/>
      <c r="D54" s="16" t="inlineStr">
        <is>
          <t>先確定計畫方向，再回頭調 CV 的排序與自傳的重心。</t>
        </is>
      </c>
    </row>
    <row r="55" ht="40" customHeight="1" s="10"/>
    <row r="56" ht="24" customHeight="1" s="10">
      <c r="A56" s="2" t="inlineStr">
        <is>
          <t>第 6 區　送出前檢核（6 項　沒滿就先別送）</t>
        </is>
      </c>
    </row>
    <row r="57" ht="26" customHeight="1" s="10">
      <c r="A57" s="14" t="inlineStr">
        <is>
          <t>檢核項目</t>
        </is>
      </c>
      <c r="B57" s="15" t="n"/>
      <c r="C57" s="14" t="inlineStr">
        <is>
          <t>確認</t>
        </is>
      </c>
      <c r="D57" s="14" t="inlineStr">
        <is>
          <t>沒打勾的話，下一步</t>
        </is>
      </c>
    </row>
    <row r="58" ht="55" customHeight="1" s="10">
      <c r="A58" s="16" t="inlineStr">
        <is>
          <t>經歷排序依研究方向，不是依時間</t>
        </is>
      </c>
      <c r="B58" s="15" t="n"/>
      <c r="C58" s="17" t="n"/>
      <c r="D58" s="16" t="inlineStr">
        <is>
          <t>把最能支撐申請方向的那幾段往前移。</t>
        </is>
      </c>
    </row>
    <row r="59" ht="55" customHeight="1" s="10">
      <c r="A59" s="16" t="inlineStr">
        <is>
          <t>每段經歷都有產出與可量化的結果</t>
        </is>
      </c>
      <c r="B59" s="15" t="n"/>
      <c r="C59" s="17" t="n"/>
      <c r="D59" s="16" t="inlineStr">
        <is>
          <t>回第 2 區第五項確認。</t>
        </is>
      </c>
    </row>
    <row r="60" ht="55" customHeight="1" s="10">
      <c r="A60" s="16" t="inlineStr">
        <is>
          <t>成績弱項有主動說明，不是等委員發現</t>
        </is>
      </c>
      <c r="B60" s="15" t="n"/>
      <c r="C60" s="17" t="n"/>
      <c r="D60" s="16" t="inlineStr">
        <is>
          <t>自傳裡一句話帶過就好。</t>
        </is>
      </c>
    </row>
    <row r="61" ht="55" customHeight="1" s="10">
      <c r="A61" s="16" t="inlineStr">
        <is>
          <t>CV 與自傳分工清楚、沒有重複同一段內容</t>
        </is>
      </c>
      <c r="B61" s="15" t="n"/>
      <c r="C61" s="17" t="n"/>
      <c r="D61" s="16" t="inlineStr">
        <is>
          <t>回第 5 區第四項確認。</t>
        </is>
      </c>
    </row>
    <row r="62" ht="55" customHeight="1" s="10">
      <c r="A62" s="16" t="inlineStr">
        <is>
          <t>研究計畫的方向在經歷裡看得到伏筆</t>
        </is>
      </c>
      <c r="B62" s="15" t="n"/>
      <c r="C62" s="17" t="n"/>
      <c r="D62" s="16" t="inlineStr">
        <is>
          <t>回第 5 區第六項確認。</t>
        </is>
      </c>
    </row>
    <row r="63" ht="55" customHeight="1" s="10">
      <c r="A63" s="16" t="inlineStr">
        <is>
          <t>推薦人拿到了我的 CV 與計畫初稿</t>
        </is>
      </c>
      <c r="B63" s="15" t="n"/>
      <c r="C63" s="17" t="n"/>
      <c r="D63" s="16" t="inlineStr">
        <is>
          <t>現在就寄，附上申請校所清單與截止日。</t>
        </is>
      </c>
    </row>
    <row r="64" ht="42" customHeight="1" s="10">
      <c r="A64" s="11" t="inlineStr">
        <is>
          <t>這六項刻意和上面幾區重複。它們不是新工作，是最後那道閘門。</t>
        </is>
      </c>
    </row>
    <row r="65" ht="40" customHeight="1" s="10"/>
    <row r="66" ht="42" customHeight="1" s="10">
      <c r="A66" s="11" t="inlineStr">
        <is>
          <t>打完切到「我到哪了」分頁看結果。</t>
        </is>
      </c>
    </row>
    <row r="67" ht="14" customHeight="1" s="10"/>
    <row r="68" ht="28" customHeight="1" s="10">
      <c r="A68" s="6" t="inlineStr">
        <is>
          <t># 搭配文章：商管與財經研究所備審：用 CV、自傳與商業故事線整合零散經歷　https://tbd-edu.com/pages/resources/business-graduate-cv.html</t>
        </is>
      </c>
    </row>
    <row r="69" ht="28" customHeight="1" s="10">
      <c r="A69" s="6" t="inlineStr">
        <is>
          <t># TBD Studio ｜ https://tbd-edu.com/</t>
        </is>
      </c>
    </row>
  </sheetData>
  <mergeCells count="52">
    <mergeCell ref="A48:B48"/>
    <mergeCell ref="A17:D17"/>
    <mergeCell ref="A24:B24"/>
    <mergeCell ref="A15:B15"/>
    <mergeCell ref="A59:B59"/>
    <mergeCell ref="A60:B60"/>
    <mergeCell ref="A51:B51"/>
    <mergeCell ref="A11:B11"/>
    <mergeCell ref="A49:B49"/>
    <mergeCell ref="A45:B45"/>
    <mergeCell ref="A36:B36"/>
    <mergeCell ref="A28:D28"/>
    <mergeCell ref="A61:B61"/>
    <mergeCell ref="A6:B6"/>
    <mergeCell ref="A16:B16"/>
    <mergeCell ref="A54:B54"/>
    <mergeCell ref="A7:B7"/>
    <mergeCell ref="A25:B25"/>
    <mergeCell ref="A41:B41"/>
    <mergeCell ref="A64:D64"/>
    <mergeCell ref="A27:B27"/>
    <mergeCell ref="A12:B12"/>
    <mergeCell ref="A50:B50"/>
    <mergeCell ref="A26:B26"/>
    <mergeCell ref="A21:B21"/>
    <mergeCell ref="A57:B57"/>
    <mergeCell ref="A33:B33"/>
    <mergeCell ref="A42:B42"/>
    <mergeCell ref="A5:B5"/>
    <mergeCell ref="A32:B32"/>
    <mergeCell ref="A14:B14"/>
    <mergeCell ref="A23:B23"/>
    <mergeCell ref="A8:B8"/>
    <mergeCell ref="A53:B53"/>
    <mergeCell ref="A66:D66"/>
    <mergeCell ref="A35:B35"/>
    <mergeCell ref="A22:B22"/>
    <mergeCell ref="A62:B62"/>
    <mergeCell ref="A37:D37"/>
    <mergeCell ref="A20:B20"/>
    <mergeCell ref="A52:B52"/>
    <mergeCell ref="A43:B43"/>
    <mergeCell ref="A63:B63"/>
    <mergeCell ref="A10:B10"/>
    <mergeCell ref="A13:B13"/>
    <mergeCell ref="A44:B44"/>
    <mergeCell ref="A2:D2"/>
    <mergeCell ref="A40:B40"/>
    <mergeCell ref="A9:B9"/>
    <mergeCell ref="A31:B31"/>
    <mergeCell ref="A58:B58"/>
    <mergeCell ref="A34:B34"/>
  </mergeCells>
  <dataValidations count="1">
    <dataValidation sqref="C6:C16 C21:C27 C32:C36 C41:C45 C49:C54 C58:C63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zoomScale="75" workbookViewId="0">
      <pane ySplit="2" topLeftCell="A3" activePane="bottomLeft" state="frozen"/>
      <selection pane="bottomLeft" activeCell="D14" sqref="D14"/>
    </sheetView>
  </sheetViews>
  <sheetFormatPr baseColWidth="10" defaultColWidth="9" defaultRowHeight="14"/>
  <cols>
    <col width="39.59765625" customWidth="1" style="10" min="1" max="1"/>
    <col width="18.19921875" customWidth="1" style="10" min="2" max="2"/>
    <col width="63.59765625" customWidth="1" style="10" min="3" max="3"/>
    <col width="64" customWidth="1" style="10" min="4" max="4"/>
    <col width="12" customWidth="1" style="10" min="5" max="6"/>
  </cols>
  <sheetData>
    <row r="1" ht="30" customHeight="1" s="10">
      <c r="A1" s="1" t="inlineStr">
        <is>
          <t>商管與財經｜備審檢核表　v1</t>
        </is>
      </c>
    </row>
    <row r="2" ht="28" customHeight="1" s="10">
      <c r="A2" s="20" t="inlineStr">
        <is>
          <t>數字會跟著「檢核表」自動變。留白的項目就是你接下來的工作清單。</t>
        </is>
      </c>
    </row>
    <row r="3" ht="40" customHeight="1" s="10"/>
    <row r="4" ht="24" customHeight="1" s="10">
      <c r="A4" s="2" t="inlineStr">
        <is>
          <t>6 區完成度</t>
        </is>
      </c>
    </row>
    <row r="5" ht="26" customHeight="1" s="10">
      <c r="A5" s="14" t="inlineStr">
        <is>
          <t>區塊</t>
        </is>
      </c>
      <c r="B5" s="14" t="inlineStr">
        <is>
          <t>已確認</t>
        </is>
      </c>
      <c r="C5" s="14" t="inlineStr">
        <is>
          <t>完成的比例（滿格代表這一區做完）</t>
        </is>
      </c>
      <c r="D5" s="14" t="inlineStr">
        <is>
          <t>這一區在檢查什麼</t>
        </is>
      </c>
    </row>
    <row r="6" ht="52" customHeight="1" s="10">
      <c r="A6" s="16" t="inlineStr">
        <is>
          <t>CV 欄位</t>
        </is>
      </c>
      <c r="B6" s="16">
        <f>COUNTIF(檢核表!C6:C16,"✓")&amp;" / 11"</f>
        <v/>
      </c>
      <c r="C6" s="16">
        <f>IF(COUNTIF(檢核表!C6:C16,"✓")=0,"尚未開始",REPT("█",ROUND(COUNTIF(檢核表!C6:C16,"✓")/11*16,0)))</f>
        <v/>
      </c>
      <c r="D6" s="16" t="inlineStr">
        <is>
          <t>十一個欄位有沒有齊，沒有的不要硬湊。</t>
        </is>
      </c>
    </row>
    <row r="7" ht="52" customHeight="1" s="10">
      <c r="A7" s="16" t="inlineStr">
        <is>
          <t>每段經歷該寫出的七件事</t>
        </is>
      </c>
      <c r="B7" s="16">
        <f>COUNTIF(檢核表!C21:C27,"✓")&amp;" / 7"</f>
        <v/>
      </c>
      <c r="C7" s="16">
        <f>IF(COUNTIF(檢核表!C21:C27,"✓")=0,"尚未開始",REPT("█",ROUND(COUNTIF(檢核表!C21:C27,"✓")/7*16,0)))</f>
        <v/>
      </c>
      <c r="D7" s="16" t="inlineStr">
        <is>
          <t>每一段經歷是不是七件事都寫出來了。</t>
        </is>
      </c>
    </row>
    <row r="8" ht="52" customHeight="1" s="10">
      <c r="A8" s="16" t="inlineStr">
        <is>
          <t>自傳</t>
        </is>
      </c>
      <c r="B8" s="16">
        <f>COUNTIF(檢核表!C32:C36,"✓")&amp;" / 5"</f>
        <v/>
      </c>
      <c r="C8" s="16">
        <f>IF(COUNTIF(檢核表!C32:C36,"✓")=0,"尚未開始",REPT("█",ROUND(COUNTIF(檢核表!C32:C36,"✓")/5*16,0)))</f>
        <v/>
      </c>
      <c r="D8" s="16" t="inlineStr">
        <is>
          <t>自傳有沒有串成一條商業故事線。</t>
        </is>
      </c>
    </row>
    <row r="9" ht="52" customHeight="1" s="10">
      <c r="A9" s="16" t="inlineStr">
        <is>
          <t>送件前五問</t>
        </is>
      </c>
      <c r="B9" s="16">
        <f>COUNTIF(檢核表!C41:C45,"✓")&amp;" / 5"</f>
        <v/>
      </c>
      <c r="C9" s="16">
        <f>IF(COUNTIF(檢核表!C41:C45,"✓")=0,"尚未開始",REPT("█",ROUND(COUNTIF(檢核表!C41:C45,"✓")/5*16,0)))</f>
        <v/>
      </c>
      <c r="D9" s="16" t="inlineStr">
        <is>
          <t>整份備審的自我檢核。</t>
        </is>
      </c>
    </row>
    <row r="10" ht="52" customHeight="1" s="10">
      <c r="A10" s="16" t="inlineStr">
        <is>
          <t>常見失分點</t>
        </is>
      </c>
      <c r="B10" s="16">
        <f>COUNTIF(檢核表!C49:C54,"✓")&amp;" / 6"</f>
        <v/>
      </c>
      <c r="C10" s="16">
        <f>IF(COUNTIF(檢核表!C49:C54,"✓")=0,"尚未開始",REPT("█",ROUND(COUNTIF(檢核表!C49:C54,"✓")/6*16,0)))</f>
        <v/>
      </c>
      <c r="D10" s="16" t="inlineStr">
        <is>
          <t>有沒有踩到最常見的六個扣分寫法。</t>
        </is>
      </c>
    </row>
    <row r="11" ht="52" customHeight="1" s="10">
      <c r="A11" s="16" t="inlineStr">
        <is>
          <t>送出前檢核</t>
        </is>
      </c>
      <c r="B11" s="16">
        <f>COUNTIF(檢核表!C58:C63,"✓")&amp;" / 6"</f>
        <v/>
      </c>
      <c r="C11" s="16">
        <f>IF(COUNTIF(檢核表!C58:C63,"✓")=0,"尚未開始",REPT("█",ROUND(COUNTIF(檢核表!C58:C63,"✓")/6*16,0)))</f>
        <v/>
      </c>
      <c r="D11" s="16" t="inlineStr">
        <is>
          <t>最後那道閘門。這六項沒到就先別送。</t>
        </is>
      </c>
    </row>
    <row r="12" ht="52" customHeight="1" s="10">
      <c r="A12" s="16" t="inlineStr">
        <is>
          <t>合計</t>
        </is>
      </c>
      <c r="B12" s="16">
        <f>(COUNTIF(檢核表!C6:C16,"✓")+COUNTIF(檢核表!C21:C27,"✓")+COUNTIF(檢核表!C32:C36,"✓")+COUNTIF(檢核表!C41:C45,"✓")+COUNTIF(檢核表!C49:C54,"✓")+COUNTIF(檢核表!C58:C63,"✓"))&amp;" / 40"</f>
        <v/>
      </c>
      <c r="C12" s="16">
        <f>IF((COUNTIF(檢核表!C6:C16,"✓")+COUNTIF(檢核表!C21:C27,"✓")+COUNTIF(檢核表!C32:C36,"✓")+COUNTIF(檢核表!C41:C45,"✓")+COUNTIF(檢核表!C49:C54,"✓")+COUNTIF(檢核表!C58:C63,"✓"))=0,"尚未開始",REPT("█",ROUND((COUNTIF(檢核表!C6:C16,"✓")+COUNTIF(檢核表!C21:C27,"✓")+COUNTIF(檢核表!C32:C36,"✓")+COUNTIF(檢核表!C41:C45,"✓")+COUNTIF(檢核表!C49:C54,"✓")+COUNTIF(檢核表!C58:C63,"✓"))/40*16,0)))</f>
        <v/>
      </c>
      <c r="D12" s="16" t="inlineStr">
        <is>
          <t>完成率見下方。</t>
        </is>
      </c>
    </row>
    <row r="13" ht="42" customHeight="1" s="10">
      <c r="A13" s="11" t="inlineStr">
        <is>
          <t>7 條長條都換算成同一個滿格刻度，所以可以直接互相比。最短的那一區就是你目前最弱的地方。</t>
        </is>
      </c>
    </row>
    <row r="14" ht="40" customHeight="1" s="10"/>
    <row r="15" ht="24" customHeight="1" s="10">
      <c r="A15" s="2" t="inlineStr">
        <is>
          <t>還有什麼可以做</t>
        </is>
      </c>
    </row>
    <row r="16" ht="26" customHeight="1" s="10">
      <c r="A16" s="14" t="inlineStr">
        <is>
          <t>完成率</t>
        </is>
      </c>
      <c r="B16" s="14" t="inlineStr">
        <is>
          <t>還沒打勾</t>
        </is>
      </c>
      <c r="C16" s="14" t="inlineStr">
        <is>
          <t>怎麼用這兩個數字</t>
        </is>
      </c>
      <c r="D16" s="15" t="n"/>
    </row>
    <row r="17" ht="67" customHeight="1" s="10">
      <c r="A17" s="8">
        <f>(COUNTIF(檢核表!C6:C16,"✓")+COUNTIF(檢核表!C21:C27,"✓")+COUNTIF(檢核表!C32:C36,"✓")+COUNTIF(檢核表!C41:C45,"✓")+COUNTIF(檢核表!C49:C54,"✓")+COUNTIF(檢核表!C58:C63,"✓"))/40</f>
        <v/>
      </c>
      <c r="B17" s="16">
        <f>40-(COUNTIF(檢核表!C6:C16,"✓")+COUNTIF(檢核表!C21:C27,"✓")+COUNTIF(檢核表!C32:C36,"✓")+COUNTIF(檢核表!C41:C45,"✓")+COUNTIF(檢核表!C49:C54,"✓")+COUNTIF(檢核表!C58:C63,"✓"))</f>
        <v/>
      </c>
      <c r="C17" s="16" t="inlineStr">
        <is>
          <t>「還沒打勾」就是你的工作清單長度。回「檢核表」看那幾列的「下一步」欄，一項對應一件事。</t>
        </is>
      </c>
      <c r="D17" s="15" t="n"/>
    </row>
    <row r="18" ht="42" customHeight="1" s="10">
      <c r="A18" s="11" t="inlineStr">
        <is>
          <t>不用追求一次補完。每次回來處理三到五項，隔幾週再打一次，你會看得到自己的進度。</t>
        </is>
      </c>
    </row>
    <row r="19" ht="14" customHeight="1" s="10"/>
    <row r="20" ht="28" customHeight="1" s="10">
      <c r="A20" s="6" t="inlineStr">
        <is>
          <t># 搭配文章：商管與財經研究所備審：用 CV、自傳與商業故事線整合零散經歷　https://tbd-edu.com/pages/resources/business-graduate-cv.html</t>
        </is>
      </c>
      <c r="B20" s="5" t="n"/>
      <c r="C20" s="5" t="n"/>
      <c r="D20" s="5" t="n"/>
      <c r="E20" s="5" t="n"/>
      <c r="F20" s="5" t="n"/>
    </row>
    <row r="21" ht="28" customHeight="1" s="10">
      <c r="A21" s="6" t="inlineStr">
        <is>
          <t># TBD Studio ｜ https://tbd-edu.com/</t>
        </is>
      </c>
      <c r="B21" s="5" t="n"/>
      <c r="C21" s="5" t="n"/>
      <c r="D21" s="5" t="n"/>
      <c r="E21" s="5" t="n"/>
      <c r="F21" s="5" t="n"/>
    </row>
  </sheetData>
  <mergeCells count="5">
    <mergeCell ref="A18:D18"/>
    <mergeCell ref="C16:D16"/>
    <mergeCell ref="A2:D2"/>
    <mergeCell ref="C17:D17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2026-09-05T06:05:58Z</dcterms:created>
  <dcterms:modified xmlns:dcterms="http://purl.org/dc/terms/" xmlns:xsi="http://www.w3.org/2001/XMLSchema-instance" xsi:type="dcterms:W3CDTF">2026-09-24T14:05:33Z</dcterms:modified>
  <cp:lastModifiedBy>TBD Studio</cp:lastModifiedBy>
</cp:coreProperties>
</file>