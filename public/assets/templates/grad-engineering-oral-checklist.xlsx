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6880" tabRatio="600" firstSheet="0" activeTab="4" autoFilterDateGrouping="1"/>
  </bookViews>
  <sheets>
    <sheet xmlns:r="http://schemas.openxmlformats.org/officeDocument/2006/relationships" name="先讀這裡" sheetId="1" state="visible" r:id="rId1"/>
    <sheet xmlns:r="http://schemas.openxmlformats.org/officeDocument/2006/relationships" name="題庫與素材" sheetId="2" state="visible" r:id="rId2"/>
    <sheet xmlns:r="http://schemas.openxmlformats.org/officeDocument/2006/relationships" name="檢核表" sheetId="3" state="visible" r:id="rId3"/>
    <sheet xmlns:r="http://schemas.openxmlformats.org/officeDocument/2006/relationships" name="我到哪了" sheetId="4" state="visible" r:id="rId4"/>
    <sheet xmlns:r="http://schemas.openxmlformats.org/officeDocument/2006/relationships" name="模擬追問紀錄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新細明體"/>
      <family val="2"/>
      <color theme="1"/>
      <sz val="11"/>
      <scheme val="minor"/>
    </font>
    <font>
      <name val="Arial"/>
      <family val="2"/>
      <b val="1"/>
      <color rgb="FF1F3A5F"/>
      <sz val="24"/>
    </font>
    <font>
      <name val="Arial"/>
      <family val="2"/>
      <color rgb="FF3F5674"/>
      <sz val="16"/>
    </font>
    <font>
      <name val="Arial"/>
      <family val="2"/>
      <b val="1"/>
      <color rgb="FF1F3A5F"/>
      <sz val="16"/>
    </font>
    <font>
      <name val="Arial"/>
      <family val="2"/>
      <b val="1"/>
      <color rgb="FFFFFFFF"/>
      <sz val="16"/>
    </font>
    <font>
      <name val="Arial"/>
      <family val="2"/>
      <color rgb="FF6D8098"/>
      <sz val="16"/>
    </font>
    <font>
      <name val="Arial"/>
      <family val="2"/>
      <b val="1"/>
      <color rgb="FFA54E3D"/>
      <sz val="16"/>
    </font>
    <font>
      <name val="Arial"/>
      <family val="2"/>
      <sz val="16"/>
    </font>
    <font>
      <name val="Courier New"/>
      <family val="1"/>
      <color theme="1" tint="0.3499862666707358"/>
      <sz val="16"/>
    </font>
    <font>
      <name val="新細明體"/>
      <charset val="136"/>
      <family val="3"/>
      <sz val="9"/>
      <scheme val="minor"/>
    </font>
  </fonts>
  <fills count="5">
    <fill>
      <patternFill/>
    </fill>
    <fill>
      <patternFill patternType="gray125"/>
    </fill>
    <fill>
      <patternFill patternType="solid">
        <fgColor rgb="FFE4EAF2"/>
      </patternFill>
    </fill>
    <fill>
      <patternFill patternType="solid">
        <fgColor rgb="FF1F3A5F"/>
      </patternFill>
    </fill>
    <fill>
      <patternFill patternType="solid">
        <fgColor rgb="FFFFF6D9"/>
      </patternFill>
    </fill>
  </fills>
  <borders count="4">
    <border>
      <left/>
      <right/>
      <top/>
      <bottom/>
      <diagonal/>
    </border>
    <border>
      <left style="thin">
        <color rgb="FFC8D2DE"/>
      </left>
      <right style="thin">
        <color rgb="FFC8D2DE"/>
      </right>
      <top style="thin">
        <color rgb="FFC8D2DE"/>
      </top>
      <bottom style="thin">
        <color rgb="FFC8D2DE"/>
      </bottom>
      <diagonal/>
    </border>
    <border>
      <left/>
      <right/>
      <top/>
      <bottom/>
      <diagonal/>
    </border>
    <border>
      <left/>
      <right/>
      <top/>
      <bottom style="thin">
        <color rgb="FFC8D2DE"/>
      </bottom>
      <diagonal/>
    </border>
  </borders>
  <cellStyleXfs count="1">
    <xf numFmtId="0" fontId="0" fillId="0" borderId="2"/>
  </cellStyleXfs>
  <cellXfs count="22">
    <xf numFmtId="0" fontId="0" fillId="0" borderId="0" pivotButton="0" quotePrefix="0" xfId="0"/>
    <xf numFmtId="0" fontId="3" fillId="2" borderId="0" pivotButton="0" quotePrefix="0" xfId="0"/>
    <xf numFmtId="0" fontId="1" fillId="0" borderId="0" applyAlignment="1" pivotButton="0" quotePrefix="0" xfId="0">
      <alignment horizontal="left"/>
    </xf>
    <xf numFmtId="0" fontId="4" fillId="3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8" fillId="0" borderId="2" applyAlignment="1" pivotButton="0" quotePrefix="0" xfId="0">
      <alignment vertical="center"/>
    </xf>
    <xf numFmtId="0" fontId="7" fillId="4" borderId="1" applyAlignment="1" pivotButton="0" quotePrefix="0" xfId="0">
      <alignment vertical="top" wrapText="1"/>
    </xf>
    <xf numFmtId="9" fontId="7" fillId="0" borderId="1" applyAlignment="1" pivotButton="0" quotePrefix="0" xfId="0">
      <alignment vertical="top" wrapText="1"/>
    </xf>
    <xf numFmtId="14" fontId="7" fillId="4" borderId="1" applyAlignment="1" pivotButton="0" quotePrefix="0" xfId="0">
      <alignment vertical="top" wrapText="1"/>
    </xf>
    <xf numFmtId="0" fontId="5" fillId="0" borderId="2" applyAlignment="1" pivotButton="0" quotePrefix="0" xfId="0">
      <alignment horizontal="left" vertical="top" wrapText="1"/>
    </xf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7" fillId="0" borderId="3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left" vertical="top" wrapText="1"/>
    </xf>
    <xf numFmtId="0" fontId="0" fillId="0" borderId="3" pivotButton="0" quotePrefix="0" xfId="0"/>
    <xf numFmtId="0" fontId="7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"/>
  <sheetViews>
    <sheetView showGridLines="0" zoomScale="75" workbookViewId="0">
      <pane ySplit="2" topLeftCell="A97" activePane="bottomLeft" state="frozen"/>
      <selection pane="bottomLeft" activeCell="B103" sqref="B103"/>
    </sheetView>
  </sheetViews>
  <sheetFormatPr baseColWidth="10" defaultColWidth="9" defaultRowHeight="14"/>
  <cols>
    <col width="82" customWidth="1" style="14" min="1" max="1"/>
    <col width="87.796875" customWidth="1" style="14" min="2" max="2"/>
    <col width="60.3984375" customWidth="1" style="14" min="3" max="4"/>
    <col width="12" customWidth="1" style="14" min="5" max="6"/>
  </cols>
  <sheetData>
    <row r="1" ht="30" customHeight="1" s="14">
      <c r="A1" s="2" t="inlineStr">
        <is>
          <t>理工｜口試自我檢核表　v1</t>
        </is>
      </c>
    </row>
    <row r="2" ht="28" customHeight="1" s="14">
      <c r="A2" s="17" t="inlineStr">
        <is>
          <t>先讀這頁，大約7分鐘。這份工具有五個分頁，主體是題庫與打勾。</t>
        </is>
      </c>
    </row>
    <row r="3" ht="40" customHeight="1" s="14"/>
    <row r="4" ht="24" customHeight="1" s="14">
      <c r="A4" s="1" t="inlineStr">
        <is>
          <t>這份表是什麼、不是什麼</t>
        </is>
      </c>
    </row>
    <row r="5" ht="26" customHeight="1" s="14">
      <c r="A5" s="3" t="inlineStr">
        <is>
          <t>它是</t>
        </is>
      </c>
      <c r="B5" s="3" t="inlineStr">
        <is>
          <t>它不是</t>
        </is>
      </c>
    </row>
    <row r="6" ht="53" customHeight="1" s="14">
      <c r="A6" s="4" t="inlineStr">
        <is>
          <t>一面鏡子。照出你對自己的專題、每一張圖表與研究限制理解到哪了，哪些題目還答不出來。</t>
        </is>
      </c>
      <c r="B6" s="4" t="inlineStr">
        <is>
          <t>簡報的朗讀稿。照著流程跑出來、自己也說不清楚的圖，教授一問「為什麼長這樣」就會破。</t>
        </is>
      </c>
    </row>
    <row r="7" ht="53" customHeight="1" s="14">
      <c r="A7" s="4" t="inlineStr">
        <is>
          <t>一次二十分鐘就做得完的自我盤點。</t>
        </is>
      </c>
      <c r="B7" s="4" t="inlineStr">
        <is>
          <t>口才訓練。這裡不教你怎麼講，只告訴你哪一題還沒想通。</t>
        </is>
      </c>
    </row>
    <row r="8" ht="53" customHeight="1" s="14">
      <c r="A8" s="4" t="inlineStr">
        <is>
          <t>可以重複用的。每模擬一次口試就回來打一次。</t>
        </is>
      </c>
      <c r="B8" s="4" t="inlineStr">
        <is>
          <t>一次性的清單。全部打完勾不是終點，是可以上場的起點。</t>
        </is>
      </c>
    </row>
    <row r="9" ht="40" customHeight="1" s="14"/>
    <row r="10" ht="24" customHeight="1" s="14">
      <c r="A10" s="1" t="inlineStr">
        <is>
          <t>理工口試在檢核什麼</t>
        </is>
      </c>
    </row>
    <row r="11" ht="48" customHeight="1" s="14">
      <c r="A11" s="15" t="inlineStr">
        <is>
          <t>追問會一路往技術細節走。大學專題多是團隊完成，教授需要在口試現場分辨「這個成果有多少是你的」，所以備審裡的每一段經歷、每一張圖表，都可能被抽出來問到底。</t>
        </is>
      </c>
      <c r="B11" s="18" t="n"/>
    </row>
    <row r="12" ht="26" customHeight="1" s="14">
      <c r="A12" s="3" t="inlineStr">
        <is>
          <t>教授想確認的四件事</t>
        </is>
      </c>
      <c r="B12" s="3" t="inlineStr">
        <is>
          <t>意思</t>
        </is>
      </c>
    </row>
    <row r="13" ht="32" customHeight="1" s="14">
      <c r="A13" s="4" t="inlineStr">
        <is>
          <t>你是否真的理解自己的專題</t>
        </is>
      </c>
      <c r="B13" s="4" t="inlineStr">
        <is>
          <t>而不是照著流程跑出來的。</t>
        </is>
      </c>
    </row>
    <row r="14" ht="32" customHeight="1" s="14">
      <c r="A14" s="4" t="inlineStr">
        <is>
          <t>能不能解釋每一筆數據</t>
        </is>
      </c>
      <c r="B14" s="4" t="inlineStr">
        <is>
          <t>指著圖問「為什麼長這樣」，你能不能從原理推導。</t>
        </is>
      </c>
    </row>
    <row r="15" ht="32" customHeight="1" s="14">
      <c r="A15" s="4" t="inlineStr">
        <is>
          <t>面對質疑時的反應</t>
        </is>
      </c>
      <c r="B15" s="4" t="inlineStr">
        <is>
          <t>硬拗一戳就破，還會讓前面的好表現一起失去可信度。</t>
        </is>
      </c>
    </row>
    <row r="16" ht="32" customHeight="1" s="14">
      <c r="A16" s="4" t="inlineStr">
        <is>
          <t>知不知道研究的限制與改進方向</t>
        </is>
      </c>
      <c r="B16" s="4" t="inlineStr">
        <is>
          <t>如果重做一次，你會改什麼。</t>
        </is>
      </c>
    </row>
    <row r="17" ht="42" customHeight="1" s="14">
      <c r="A17" s="9" t="inlineStr">
        <is>
          <t>準備口試的第一步，是把自己的材料重新走一遍——用「如果是我來質疑，我會問哪裡」的視角。</t>
        </is>
      </c>
    </row>
    <row r="18" ht="40" customHeight="1" s="14"/>
    <row r="19" ht="24" customHeight="1" s="14">
      <c r="A19" s="1" t="inlineStr">
        <is>
          <t>解釋自己的數據：從原理推導</t>
        </is>
      </c>
    </row>
    <row r="20" ht="48" customHeight="1" s="14">
      <c r="A20" s="19" t="inlineStr">
        <is>
          <t>最經典的一題是教授指著你的圖表問「這張圖為什麼長這樣」。這一題測的不是記憶，而是你能不能用基礎學理或演算法邏輯，說明數據是你經過思考、實驗、除錯、分析產出的結果。</t>
        </is>
      </c>
    </row>
    <row r="21" ht="40" customHeight="1" s="14"/>
    <row r="22" ht="26" customHeight="1" s="14">
      <c r="A22" s="3" t="inlineStr">
        <is>
          <t>每張圖練兩層說明</t>
        </is>
      </c>
      <c r="B22" s="3" t="inlineStr">
        <is>
          <t>怎麼練</t>
        </is>
      </c>
    </row>
    <row r="23" ht="32" customHeight="1" s="14">
      <c r="A23" s="4" t="inlineStr">
        <is>
          <t>一句話結論</t>
        </is>
      </c>
      <c r="B23" s="4" t="inlineStr">
        <is>
          <t>這張圖說明什麼。</t>
        </is>
      </c>
    </row>
    <row r="24" ht="32" customHeight="1" s="14">
      <c r="A24" s="4" t="inlineStr">
        <is>
          <t>一段原理推導</t>
        </is>
      </c>
      <c r="B24" s="4" t="inlineStr">
        <is>
          <t>為什麼會是這個趨勢、這個量級、這個形狀。</t>
        </is>
      </c>
    </row>
    <row r="25" ht="42" customHeight="1" s="14">
      <c r="A25" s="9" t="inlineStr">
        <is>
          <t>特別留意不理想的數據：異常點、失敗的實驗、比預期差的效能。能說明原因、你做了什麼修正、從中學到什麼，就把一張弱圖變成了強答案。</t>
        </is>
      </c>
    </row>
    <row r="26" ht="40" customHeight="1" s="14"/>
    <row r="27" ht="24" customHeight="1" s="14">
      <c r="A27" s="1" t="inlineStr">
        <is>
          <t>五步答題框架</t>
        </is>
      </c>
    </row>
    <row r="28" ht="26" customHeight="1" s="14">
      <c r="A28" s="3" t="inlineStr">
        <is>
          <t>步驟</t>
        </is>
      </c>
      <c r="B28" s="3" t="inlineStr">
        <is>
          <t>作用</t>
        </is>
      </c>
    </row>
    <row r="29" ht="32" customHeight="1" s="14">
      <c r="A29" s="4" t="inlineStr">
        <is>
          <t>1 確認問題</t>
        </is>
      </c>
      <c r="B29" s="4" t="inlineStr">
        <is>
          <t>確保答的是他問的，也替自己爭取思考時間。</t>
        </is>
      </c>
    </row>
    <row r="30" ht="32" customHeight="1" s="14">
      <c r="A30" s="4" t="inlineStr">
        <is>
          <t>2 說明原始設計</t>
        </is>
      </c>
      <c r="B30" s="4" t="inlineStr">
        <is>
          <t>這個參數或方法當初為什麼這樣選。</t>
        </is>
      </c>
    </row>
    <row r="31" ht="32" customHeight="1" s="14">
      <c r="A31" s="4" t="inlineStr">
        <is>
          <t>3 解釋原理</t>
        </is>
      </c>
      <c r="B31" s="4" t="inlineStr">
        <is>
          <t>從原理或演算法邏輯推導為什麼會長這樣。</t>
        </is>
      </c>
    </row>
    <row r="32" ht="32" customHeight="1" s="14">
      <c r="A32" s="4" t="inlineStr">
        <is>
          <t>4 承認限制</t>
        </is>
      </c>
      <c r="B32" s="4" t="inlineStr">
        <is>
          <t>誤差來源、樣本數或適用範圍的邊界。</t>
        </is>
      </c>
    </row>
    <row r="33" ht="32" customHeight="1" s="14">
      <c r="A33" s="4" t="inlineStr">
        <is>
          <t>5 提出替代</t>
        </is>
      </c>
      <c r="B33" s="4" t="inlineStr">
        <is>
          <t>如果重做會用什麼方法，代價是什麼。</t>
        </is>
      </c>
    </row>
    <row r="34" ht="42" customHeight="1" s="14">
      <c r="A34" s="9" t="inlineStr">
        <is>
          <t>第二節的五步先背起來，後面每一節都是在檢查你能不能真的照那五步答。</t>
        </is>
      </c>
    </row>
    <row r="35" ht="40" customHeight="1" s="14"/>
    <row r="36" ht="24" customHeight="1" s="14">
      <c r="A36" s="1" t="inlineStr">
        <is>
          <t>不會的問題怎麼答</t>
        </is>
      </c>
    </row>
    <row r="37" ht="48" customHeight="1" s="14">
      <c r="A37" s="19" t="inlineStr">
        <is>
          <t>口試一定會遇到答不出來的問題，有時教授就是故意往你的邊界外問。那一刻的表現，恰好是「研究潛力」最直接的樣本——研究的日常就是面對未知。致命的反應是硬拗；有效的回應是承認邊界，然後展示下一步。</t>
        </is>
      </c>
    </row>
    <row r="38" ht="40" customHeight="1" s="14"/>
    <row r="39" ht="26" customHeight="1" s="14">
      <c r="A39" s="3" t="inlineStr">
        <is>
          <t>四種句型</t>
        </is>
      </c>
      <c r="B39" s="3" t="inlineStr">
        <is>
          <t>共同結構</t>
        </is>
      </c>
    </row>
    <row r="40" ht="48" customHeight="1" s="14">
      <c r="A40" s="4" t="inlineStr">
        <is>
          <t>「我目前沒有完整答案，但我會先從＿＿方向查證。」</t>
        </is>
      </c>
      <c r="B40" s="4" t="inlineStr">
        <is>
          <t>誠實面對不足，接著給一條查證路徑。</t>
        </is>
      </c>
    </row>
    <row r="41" ht="48" customHeight="1" s="14">
      <c r="A41" s="4" t="inlineStr">
        <is>
          <t>「如果要驗證這個問題，我會設計＿＿實驗來確認。」</t>
        </is>
      </c>
      <c r="B41" s="4" t="inlineStr">
        <is>
          <t>誠實面對不足，接著給一條實驗路徑。</t>
        </is>
      </c>
    </row>
    <row r="42" ht="48" customHeight="1" s="14">
      <c r="A42" s="4" t="inlineStr">
        <is>
          <t>「目前的資料可能不足以回答，但可以透過＿＿補強。」</t>
        </is>
      </c>
      <c r="B42" s="4" t="inlineStr">
        <is>
          <t>指出資料邊界，接著給補強方法。</t>
        </is>
      </c>
    </row>
    <row r="43" ht="48" customHeight="1" s="14">
      <c r="A43" s="4" t="inlineStr">
        <is>
          <t>「這點我需要再補充，不過我的初步判斷是＿＿，理由是＿＿。」</t>
        </is>
      </c>
      <c r="B43" s="4" t="inlineStr">
        <is>
          <t>給初步判斷與理由，不停在「不知道」。</t>
        </is>
      </c>
    </row>
    <row r="44" ht="40" customHeight="1" s="14"/>
    <row r="45" ht="24" customHeight="1" s="14">
      <c r="A45" s="1" t="inlineStr">
        <is>
          <t>什麼時候用，可以用幾次</t>
        </is>
      </c>
    </row>
    <row r="46" ht="32" customHeight="1" s="14">
      <c r="A46" s="20" t="inlineStr">
        <is>
          <t>收到口試通知就開始打第一次，那時候題庫會有一半是空的，那正是它的用途。之後每模擬一次口試就回來打一次，上場前一天再走最後一遍。</t>
        </is>
      </c>
    </row>
    <row r="47" ht="40" customHeight="1" s="14"/>
    <row r="48" ht="24" customHeight="1" s="14">
      <c r="A48" s="1" t="inlineStr">
        <is>
          <t>五個分頁的分工</t>
        </is>
      </c>
    </row>
    <row r="49" ht="26" customHeight="1" s="14">
      <c r="A49" s="3" t="inlineStr">
        <is>
          <t>分頁</t>
        </is>
      </c>
      <c r="B49" s="3" t="inlineStr">
        <is>
          <t>做什麼</t>
        </is>
      </c>
    </row>
    <row r="50" ht="43" customHeight="1" s="14">
      <c r="A50" s="4" t="inlineStr">
        <is>
          <t>先讀這裡</t>
        </is>
      </c>
      <c r="B50" s="4" t="inlineStr">
        <is>
          <t>你正在讀的這頁。教授在確認什麼、五步框架、怎麼打勾、卡關怎麼辦。</t>
        </is>
      </c>
    </row>
    <row r="51" ht="43" customHeight="1" s="14">
      <c r="A51" s="4" t="inlineStr">
        <is>
          <t>題庫與素材</t>
        </is>
      </c>
      <c r="B51" s="4" t="inlineStr">
        <is>
          <t>要動手的地方。十二題各寫答案要點並打兩個勾，再填五步框架、圖表兩層說明、不會的問題句型。</t>
        </is>
      </c>
    </row>
    <row r="52" ht="43" customHeight="1" s="14">
      <c r="A52" s="4" t="inlineStr">
        <is>
          <t>檢核表</t>
        </is>
      </c>
      <c r="B52" s="4" t="inlineStr">
        <is>
          <t>4 區共 25 項，逐項打勾。每一項旁邊都寫好了沒打勾的話下一步做什麼。</t>
        </is>
      </c>
    </row>
    <row r="53" ht="43" customHeight="1" s="14">
      <c r="A53" s="4" t="inlineStr">
        <is>
          <t>我到哪了</t>
        </is>
      </c>
      <c r="B53" s="4" t="inlineStr">
        <is>
          <t>打完之後看這頁。6 區完成度與還沒打勾的數量。</t>
        </is>
      </c>
    </row>
    <row r="54" ht="43" customHeight="1" s="14">
      <c r="A54" s="4" t="inlineStr">
        <is>
          <t>模擬追問紀錄</t>
        </is>
      </c>
      <c r="B54" s="4" t="inlineStr">
        <is>
          <t>每找人模擬一次就記一列。被問倒的地方就是接下來要補的，不用寫得漂亮。</t>
        </is>
      </c>
    </row>
    <row r="55" ht="40" customHeight="1" s="14"/>
    <row r="56" ht="24" customHeight="1" s="14">
      <c r="A56" s="1" t="inlineStr">
        <is>
          <t>四個步驟</t>
        </is>
      </c>
    </row>
    <row r="57" ht="26" customHeight="1" s="14">
      <c r="A57" s="3" t="inlineStr">
        <is>
          <t>步驟</t>
        </is>
      </c>
      <c r="B57" s="3" t="inlineStr">
        <is>
          <t>做什麼</t>
        </is>
      </c>
    </row>
    <row r="58" ht="56" customHeight="1" s="14">
      <c r="A58" s="4" t="inlineStr">
        <is>
          <t>第 1 步</t>
        </is>
      </c>
      <c r="B58" s="4" t="inlineStr">
        <is>
          <t>切到「題庫與素材」分頁，十二題先寫答案要點。寫得出來就勾「寫出答案」。</t>
        </is>
      </c>
    </row>
    <row r="59" ht="56" customHeight="1" s="14">
      <c r="A59" s="4" t="inlineStr">
        <is>
          <t>第 2 步</t>
        </is>
      </c>
      <c r="B59" s="4" t="inlineStr">
        <is>
          <t>填五步框架的練習備註、三張最可能被問的圖的兩層說明、不會的問題句型。</t>
        </is>
      </c>
    </row>
    <row r="60" ht="56" customHeight="1" s="14">
      <c r="A60" s="4" t="inlineStr">
        <is>
          <t>第 3 步</t>
        </is>
      </c>
      <c r="B60" s="4" t="inlineStr">
        <is>
          <t>請同學或學長姐拿著你的簡報當質疑方，限時追問。講得出來的題目勾「練過口說」。再切到「檢核表」4 區打勾。</t>
        </is>
      </c>
    </row>
    <row r="61" ht="56" customHeight="1" s="14">
      <c r="A61" s="4" t="inlineStr">
        <is>
          <t>第 4 步</t>
        </is>
      </c>
      <c r="B61" s="4" t="inlineStr">
        <is>
          <t>切到「我到哪了」看哪一區最短，回頭補沒打勾的那幾項。</t>
        </is>
      </c>
    </row>
    <row r="62" ht="40" customHeight="1" s="14"/>
    <row r="63" ht="24" customHeight="1" s="14">
      <c r="A63" s="1" t="inlineStr">
        <is>
          <t>六個區塊各在檢查什麼</t>
        </is>
      </c>
    </row>
    <row r="64" ht="26" customHeight="1" s="14">
      <c r="A64" s="3" t="inlineStr">
        <is>
          <t>區塊</t>
        </is>
      </c>
      <c r="B64" s="3" t="inlineStr">
        <is>
          <t>幾項</t>
        </is>
      </c>
      <c r="C64" s="3" t="inlineStr">
        <is>
          <t>在檢查什麼</t>
        </is>
      </c>
    </row>
    <row r="65" ht="32" customHeight="1" s="14">
      <c r="A65" s="4" t="inlineStr">
        <is>
          <t>題庫：寫出答案</t>
        </is>
      </c>
      <c r="B65" s="4" t="inlineStr">
        <is>
          <t>12</t>
        </is>
      </c>
      <c r="C65" s="4" t="inlineStr">
        <is>
          <t>四類追問十二題，寫得出答案要點了沒。</t>
        </is>
      </c>
    </row>
    <row r="66" ht="48" customHeight="1" s="14">
      <c r="A66" s="4" t="inlineStr">
        <is>
          <t>題庫：練過口說</t>
        </is>
      </c>
      <c r="B66" s="4" t="inlineStr">
        <is>
          <t>12</t>
        </is>
      </c>
      <c r="C66" s="4" t="inlineStr">
        <is>
          <t>同樣十二題，被限時追問時講得出來了沒。</t>
        </is>
      </c>
    </row>
    <row r="67" ht="48" customHeight="1" s="14">
      <c r="A67" s="4" t="inlineStr">
        <is>
          <t>簡報與數據答辯</t>
        </is>
      </c>
      <c r="B67" s="4" t="inlineStr">
        <is>
          <t>8</t>
        </is>
      </c>
      <c r="C67" s="4" t="inlineStr">
        <is>
          <t>簡報模組化了沒、每張圖能不能從原理推導。</t>
        </is>
      </c>
    </row>
    <row r="68" ht="48" customHeight="1" s="14">
      <c r="A68" s="4" t="inlineStr">
        <is>
          <t>追問應對與行政</t>
        </is>
      </c>
      <c r="B68" s="4" t="inlineStr">
        <is>
          <t>8</t>
        </is>
      </c>
      <c r="C68" s="4" t="inlineStr">
        <is>
          <t>不會的問題練過了沒、銜接段一致了沒、現場準備。</t>
        </is>
      </c>
    </row>
    <row r="69" ht="32" customHeight="1" s="14">
      <c r="A69" s="4" t="inlineStr">
        <is>
          <t>上場前檢核</t>
        </is>
      </c>
      <c r="B69" s="4" t="inlineStr">
        <is>
          <t>3</t>
        </is>
      </c>
      <c r="C69" s="4" t="inlineStr">
        <is>
          <t>最後那道閘門。三個都點頭才能上場。</t>
        </is>
      </c>
    </row>
    <row r="70" ht="48" customHeight="1" s="14">
      <c r="A70" s="4" t="inlineStr">
        <is>
          <t>常見失分點</t>
        </is>
      </c>
      <c r="B70" s="4" t="inlineStr">
        <is>
          <t>6</t>
        </is>
      </c>
      <c r="C70" s="4" t="inlineStr">
        <is>
          <t>有沒有踩到最常見的六個失分回答。</t>
        </is>
      </c>
    </row>
    <row r="71" ht="40" customHeight="1" s="14"/>
    <row r="72" ht="24" customHeight="1" s="14">
      <c r="A72" s="1" t="inlineStr">
        <is>
          <t>什麼情況才算 ✓</t>
        </is>
      </c>
    </row>
    <row r="73" ht="32" customHeight="1" s="14">
      <c r="A73" s="20" t="inlineStr">
        <is>
          <t>打勾之前先問自己一句：如果現在有人要我當場講，我講得出來嗎。講得出來才算 ✓，覺得「應該會吧」不算。</t>
        </is>
      </c>
    </row>
    <row r="74" ht="32" customHeight="1" s="14">
      <c r="A74" s="20" t="inlineStr">
        <is>
          <t>這張表只有你自己會看。寬鬆給分唯一的效果，是讓你在口試現場才發現缺口。留白不是失敗，留白就是你接下來的工作清單。</t>
        </is>
      </c>
    </row>
    <row r="75" ht="32" customHeight="1" s="14">
      <c r="A75" s="21" t="inlineStr">
        <is>
          <t>「常見失分點」那一區的語意是相反的：✓ 代表「我確認自己不會這樣答」。表頭上有標。</t>
        </is>
      </c>
    </row>
    <row r="76" ht="40" customHeight="1" s="14"/>
    <row r="77" ht="24" customHeight="1" s="14">
      <c r="A77" s="1" t="inlineStr">
        <is>
          <t>結果怎麼看</t>
        </is>
      </c>
    </row>
    <row r="78" ht="26" customHeight="1" s="14">
      <c r="A78" s="3" t="inlineStr">
        <is>
          <t>你看到的</t>
        </is>
      </c>
      <c r="B78" s="3" t="inlineStr">
        <is>
          <t>代表什麼</t>
        </is>
      </c>
      <c r="C78" s="3" t="inlineStr">
        <is>
          <t>接下來</t>
        </is>
      </c>
    </row>
    <row r="79" ht="48" customHeight="1" s="14">
      <c r="A79" s="4" t="inlineStr">
        <is>
          <t>幾乎全空</t>
        </is>
      </c>
      <c r="B79" s="4" t="inlineStr">
        <is>
          <t>這不是壞消息，這是你現在的起點。</t>
        </is>
      </c>
      <c r="C79" s="4" t="inlineStr">
        <is>
          <t>從「上場前檢核」往回推，每一題對應題庫的一類。</t>
        </is>
      </c>
    </row>
    <row r="80" ht="48" customHeight="1" s="14">
      <c r="A80" s="4" t="inlineStr">
        <is>
          <t>寫出答案滿了，練過口說很空</t>
        </is>
      </c>
      <c r="B80" s="4" t="inlineStr">
        <is>
          <t>你想通了，但還沒被限時追問過。</t>
        </is>
      </c>
      <c r="C80" s="4" t="inlineStr">
        <is>
          <t>請同學或學長姐拿著你的簡報當質疑方，限時追問。</t>
        </is>
      </c>
    </row>
    <row r="81" ht="48" customHeight="1" s="14">
      <c r="A81" s="4" t="inlineStr">
        <is>
          <t>數據與誤差那四題空著</t>
        </is>
      </c>
      <c r="B81" s="4" t="inlineStr">
        <is>
          <t>最經典的「這張圖為什麼長這樣」還沒防守。</t>
        </is>
      </c>
      <c r="C81" s="4" t="inlineStr">
        <is>
          <t>回題庫與素材第三節，每張圖練一句結論加一段原理。</t>
        </is>
      </c>
    </row>
    <row r="82" ht="48" customHeight="1" s="14">
      <c r="A82" s="4" t="inlineStr">
        <is>
          <t>銜接那兩題空著</t>
        </is>
      </c>
      <c r="B82" s="4" t="inlineStr">
        <is>
          <t>選校那一層做得不夠細。</t>
        </is>
      </c>
      <c r="C82" s="4" t="inlineStr">
        <is>
          <t>回去讀研究計畫書的接軌段落，答案要和它一致。</t>
        </is>
      </c>
    </row>
    <row r="83" ht="32" customHeight="1" s="14">
      <c r="A83" s="4" t="inlineStr">
        <is>
          <t>上場前三個核心問題沒滿</t>
        </is>
      </c>
      <c r="B83" s="4" t="inlineStr">
        <is>
          <t>還不能上場。</t>
        </is>
      </c>
      <c r="C83" s="4" t="inlineStr">
        <is>
          <t>先補那三項，其他區暫時放著。</t>
        </is>
      </c>
    </row>
    <row r="84" ht="48" customHeight="1" s="14">
      <c r="A84" s="4" t="inlineStr">
        <is>
          <t>49 項全滿</t>
        </is>
      </c>
      <c r="B84" s="4" t="inlineStr">
        <is>
          <t>準備到位了。</t>
        </is>
      </c>
      <c r="C84" s="4" t="inlineStr">
        <is>
          <t>口試前一天再對著人講一次模組化簡報的核心版本，計時。</t>
        </is>
      </c>
    </row>
    <row r="85" ht="40" customHeight="1" s="14"/>
    <row r="86" ht="24" customHeight="1" s="14">
      <c r="A86" s="1" t="inlineStr">
        <is>
          <t>沒打勾的，去哪裡補</t>
        </is>
      </c>
    </row>
    <row r="87" ht="26" customHeight="1" s="14">
      <c r="A87" s="3" t="inlineStr">
        <is>
          <t>缺的是</t>
        </is>
      </c>
      <c r="B87" s="3" t="inlineStr">
        <is>
          <t>去哪裡補</t>
        </is>
      </c>
      <c r="C87" s="3" t="inlineStr">
        <is>
          <t>要補成什麼樣子</t>
        </is>
      </c>
    </row>
    <row r="88" ht="48" customHeight="1" s="14">
      <c r="A88" s="4" t="inlineStr">
        <is>
          <t>某一題寫不出答案</t>
        </is>
      </c>
      <c r="B88" s="4" t="inlineStr">
        <is>
          <t>回專題本身</t>
        </is>
      </c>
      <c r="C88" s="4" t="inlineStr">
        <is>
          <t>那題就是你目前最大的風險。先想通，再寫要點，不要硬背。</t>
        </is>
      </c>
    </row>
    <row r="89" ht="48" customHeight="1" s="14">
      <c r="A89" s="4" t="inlineStr">
        <is>
          <t>圖表只答得出怎麼做</t>
        </is>
      </c>
      <c r="B89" s="4" t="inlineStr">
        <is>
          <t>題庫與素材第三節</t>
        </is>
      </c>
      <c r="C89" s="4" t="inlineStr">
        <is>
          <t>每張圖一句話結論加一段原理推導，為什麼是這個趨勢、量級、形狀。</t>
        </is>
      </c>
    </row>
    <row r="90" ht="48" customHeight="1" s="14">
      <c r="A90" s="4" t="inlineStr">
        <is>
          <t>不理想的數據只說設備問題</t>
        </is>
      </c>
      <c r="B90" s="4" t="inlineStr">
        <is>
          <t>題庫數據與誤差第二題</t>
        </is>
      </c>
      <c r="C90" s="4" t="inlineStr">
        <is>
          <t>原因分析、修正方式、學到的事，三件都要有。</t>
        </is>
      </c>
    </row>
    <row r="91" ht="48" customHeight="1" s="14">
      <c r="A91" s="4" t="inlineStr">
        <is>
          <t>方法只講名稱與流程</t>
        </is>
      </c>
      <c r="B91" s="4" t="inlineStr">
        <is>
          <t>題庫選題與方法第二題</t>
        </is>
      </c>
      <c r="C91" s="4" t="inlineStr">
        <is>
          <t>比較過替代方案，答得出「為什麼不用另一種」。</t>
        </is>
      </c>
    </row>
    <row r="92" ht="48" customHeight="1" s="14">
      <c r="A92" s="4" t="inlineStr">
        <is>
          <t>被問不會的就卡住</t>
        </is>
      </c>
      <c r="B92" s="4" t="inlineStr">
        <is>
          <t>題庫與素材第四節</t>
        </is>
      </c>
      <c r="C92" s="4" t="inlineStr">
        <is>
          <t>四種句型各寫一次自己的版本，承認邊界然後給路徑。</t>
        </is>
      </c>
    </row>
    <row r="93" ht="48" customHeight="1" s="14">
      <c r="A93" s="4" t="inlineStr">
        <is>
          <t>銜接段答案與計畫書不一致</t>
        </is>
      </c>
      <c r="B93" s="4" t="inlineStr">
        <is>
          <t>研究計畫書的接軌段落</t>
        </is>
      </c>
      <c r="C93" s="4" t="inlineStr">
        <is>
          <t>「這個題目和貴實驗室的關係」要和計畫書講的是同一件事。</t>
        </is>
      </c>
    </row>
    <row r="94" ht="48" customHeight="1" s="14">
      <c r="A94" s="4" t="inlineStr">
        <is>
          <t>時間被壓縮就亂了</t>
        </is>
      </c>
      <c r="B94" s="4" t="inlineStr">
        <is>
          <t>簡報模組化</t>
        </is>
      </c>
      <c r="C94" s="4" t="inlineStr">
        <is>
          <t>核心是專題與研究方向，前後可依時間伸縮。</t>
        </is>
      </c>
    </row>
    <row r="95" ht="48" customHeight="1" s="14">
      <c r="A95" s="4" t="inlineStr">
        <is>
          <t>專題是團隊做的，說不清哪部分是我的</t>
        </is>
      </c>
      <c r="B95" s="4" t="inlineStr">
        <is>
          <t>備審</t>
        </is>
      </c>
      <c r="C95" s="4" t="inlineStr">
        <is>
          <t>「我負責的部分」在簡報中清楚可辨，被抽出來問也答得出細節。</t>
        </is>
      </c>
    </row>
    <row r="96" ht="42" customHeight="1" s="14">
      <c r="A96" s="9" t="inlineStr">
        <is>
          <t>要寫成完整答案的部分寫在你自己的筆記裡，這裡只負責告訴你缺什麼。</t>
        </is>
      </c>
    </row>
    <row r="97" ht="40" customHeight="1" s="14"/>
    <row r="98" ht="24" customHeight="1" s="14">
      <c r="A98" s="1" t="inlineStr">
        <is>
          <t>卡關時</t>
        </is>
      </c>
    </row>
    <row r="99" ht="26" customHeight="1" s="14">
      <c r="A99" s="3" t="inlineStr">
        <is>
          <t>狀況</t>
        </is>
      </c>
      <c r="B99" s="3" t="inlineStr">
        <is>
          <t>怎麼辦</t>
        </is>
      </c>
    </row>
    <row r="100" ht="98" customHeight="1" s="14">
      <c r="A100" s="4" t="inlineStr">
        <is>
          <t>口試簡報要準備幾分鐘的版本</t>
        </is>
      </c>
      <c r="B100" s="4" t="inlineStr">
        <is>
          <t>各校規定不同，以簡章或通知為準。做一個模組化的版本：核心是專題與研究方向，前後可依時間伸縮，每張數據圖表準備一句話結論與一段完整說明，時間被壓縮時才不會亂了結構。</t>
        </is>
      </c>
    </row>
    <row r="101" ht="98" customHeight="1" s="14">
      <c r="A101" s="4" t="inlineStr">
        <is>
          <t>被教授問到他專長領域的深入問題，答不出來會被刷掉嗎</t>
        </is>
      </c>
      <c r="B101" s="4" t="inlineStr">
        <is>
          <t>通常不會因為單一題被刷掉。教授有時是刻意往深處問，測試你面對未知的反應——硬拗或沉默才是致命的，冷靜說出初步判斷與查證方向反而是加分。口試評估的是整體研究潛力與誠實度，不是答對率。</t>
        </is>
      </c>
    </row>
    <row r="102" ht="98" customHeight="1" s="14">
      <c r="A102" s="4" t="inlineStr">
        <is>
          <t>需要準備英文自我介紹嗎</t>
        </is>
      </c>
      <c r="B102" s="4" t="inlineStr">
        <is>
          <t>部分系所會有英文提問或要求英文簡報，以各校簡章與歷屆經驗為準。底線準備是：能用英文簡短介紹專題主題與方法，熟悉領域核心術語的英文說法。</t>
        </is>
      </c>
    </row>
    <row r="103" ht="98" customHeight="1" s="14">
      <c r="A103" s="4" t="inlineStr">
        <is>
          <t>練習時同學都說沒問題</t>
        </is>
      </c>
      <c r="B103" s="4" t="inlineStr">
        <is>
          <t>同學太懂你的專題，聽不出你哪裡跳過了推導。至少找一個不熟悉你題目的人拿著簡報當質疑方，限時追問。</t>
        </is>
      </c>
    </row>
    <row r="104" ht="98" customHeight="1" s="14">
      <c r="A104" s="4" t="inlineStr">
        <is>
          <t>兩次打出來的數字一樣</t>
        </is>
      </c>
      <c r="B104" s="4" t="inlineStr">
        <is>
          <t>檢查一下是不是這段時間都在改簡報、沒有找人練。改得再漂亮，沒被追問過的圖還是空的。</t>
        </is>
      </c>
    </row>
    <row r="105" ht="40" customHeight="1" s="14"/>
    <row r="106" ht="14" customHeight="1" s="14"/>
    <row r="107" ht="28" customHeight="1" s="14">
      <c r="A107" s="5" t="inlineStr">
        <is>
          <t># 搭配文章：理工研究所口試怎麼準備？面對技術追問的答辯方法　https://tbd-edu.com/pages/resources/engineering-graduate-oral.html</t>
        </is>
      </c>
    </row>
    <row r="108" ht="28" customHeight="1" s="14">
      <c r="A108" s="5" t="inlineStr">
        <is>
          <t># TBD Studio ｜ https://tbd-edu.com/</t>
        </is>
      </c>
    </row>
  </sheetData>
  <mergeCells count="12">
    <mergeCell ref="A25:C25"/>
    <mergeCell ref="A20:B20"/>
    <mergeCell ref="A75:C75"/>
    <mergeCell ref="A46:C46"/>
    <mergeCell ref="A11:B11"/>
    <mergeCell ref="A74:C74"/>
    <mergeCell ref="A37:B37"/>
    <mergeCell ref="A17:C17"/>
    <mergeCell ref="A73:C73"/>
    <mergeCell ref="A34:C34"/>
    <mergeCell ref="A96:C96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zoomScale="75" workbookViewId="0">
      <pane ySplit="2" topLeftCell="A34" activePane="bottomLeft" state="frozen"/>
      <selection pane="bottomLeft" activeCell="A44" activeCellId="1" sqref="A35:XFD35 A44:XFD44"/>
    </sheetView>
  </sheetViews>
  <sheetFormatPr baseColWidth="10" defaultColWidth="9" defaultRowHeight="14"/>
  <cols>
    <col width="29" customWidth="1" style="14" min="1" max="1"/>
    <col width="103.3984375" customWidth="1" style="14" min="2" max="2"/>
    <col width="72.19921875" customWidth="1" style="14" min="3" max="3"/>
    <col width="17.3984375" customWidth="1" style="14" min="4" max="5"/>
    <col width="12" customWidth="1" style="14" min="6" max="6"/>
  </cols>
  <sheetData>
    <row r="1" ht="30" customHeight="1" s="14">
      <c r="A1" s="2" t="inlineStr">
        <is>
          <t>理工｜口試自我檢核表　v1</t>
        </is>
      </c>
    </row>
    <row r="2" ht="28" customHeight="1" s="14">
      <c r="A2" s="17" t="inlineStr">
        <is>
          <t>先寫答案要點，再練口說。每題兩個勾：寫出答案了、練過口說了。判準見「先讀這裡」分頁。淡黃色的儲存格是要你填或勾的，其餘是給你讀的。</t>
        </is>
      </c>
    </row>
    <row r="3" ht="40" customHeight="1" s="14"/>
    <row r="4" ht="24" customHeight="1" s="14">
      <c r="A4" s="1" t="inlineStr">
        <is>
          <t>一、四類技術追問題庫（12 題）</t>
        </is>
      </c>
    </row>
    <row r="5" ht="26" customHeight="1" s="14">
      <c r="A5" s="3" t="inlineStr">
        <is>
          <t>類別</t>
        </is>
      </c>
      <c r="B5" s="3" t="inlineStr">
        <is>
          <t>題目</t>
        </is>
      </c>
      <c r="C5" s="3" t="inlineStr">
        <is>
          <t>我的內容</t>
        </is>
      </c>
      <c r="D5" s="3" t="inlineStr">
        <is>
          <t>寫出答案</t>
        </is>
      </c>
      <c r="E5" s="3" t="inlineStr">
        <is>
          <t>練過口說</t>
        </is>
      </c>
    </row>
    <row r="6" ht="41" customHeight="1" s="14">
      <c r="A6" s="4" t="inlineStr">
        <is>
          <t>選題與方法</t>
        </is>
      </c>
      <c r="B6" s="4" t="inlineStr">
        <is>
          <t>為什麼選這個題目？</t>
        </is>
      </c>
      <c r="C6" s="6" t="n"/>
      <c r="D6" s="6" t="n"/>
      <c r="E6" s="6" t="n"/>
    </row>
    <row r="7" ht="41" customHeight="1" s="14">
      <c r="A7" s="4" t="inlineStr">
        <is>
          <t>選題與方法</t>
        </is>
      </c>
      <c r="B7" s="4" t="inlineStr">
        <is>
          <t>為什麼用這個方法、不用另一種？（有沒有比較過替代方案）</t>
        </is>
      </c>
      <c r="C7" s="6" t="n"/>
      <c r="D7" s="6" t="n"/>
      <c r="E7" s="6" t="n"/>
    </row>
    <row r="8" ht="41" customHeight="1" s="14">
      <c r="A8" s="4" t="inlineStr">
        <is>
          <t>選題與方法</t>
        </is>
      </c>
      <c r="B8" s="4" t="inlineStr">
        <is>
          <t>這個參數或設定當初為什麼這樣選？</t>
        </is>
      </c>
      <c r="C8" s="6" t="n"/>
      <c r="D8" s="6" t="n"/>
      <c r="E8" s="6" t="n"/>
    </row>
    <row r="9" ht="41" customHeight="1" s="14">
      <c r="A9" s="4" t="inlineStr">
        <is>
          <t>數據與誤差</t>
        </is>
      </c>
      <c r="B9" s="4" t="inlineStr">
        <is>
          <t>這張圖為什麼長這樣？（從原理或演算法邏輯推導）</t>
        </is>
      </c>
      <c r="C9" s="6" t="n"/>
      <c r="D9" s="6" t="n"/>
      <c r="E9" s="6" t="n"/>
    </row>
    <row r="10" ht="41" customHeight="1" s="14">
      <c r="A10" s="4" t="inlineStr">
        <is>
          <t>數據與誤差</t>
        </is>
      </c>
      <c r="B10" s="4" t="inlineStr">
        <is>
          <t>不理想的數據：原因是什麼、做了什麼修正、學到什麼？</t>
        </is>
      </c>
      <c r="C10" s="6" t="n"/>
      <c r="D10" s="6" t="n"/>
      <c r="E10" s="6" t="n"/>
    </row>
    <row r="11" ht="41" customHeight="1" s="14">
      <c r="A11" s="4" t="inlineStr">
        <is>
          <t>數據與誤差</t>
        </is>
      </c>
      <c r="B11" s="4" t="inlineStr">
        <is>
          <t>誤差可能來自哪裡？</t>
        </is>
      </c>
      <c r="C11" s="6" t="n"/>
      <c r="D11" s="6" t="n"/>
      <c r="E11" s="6" t="n"/>
    </row>
    <row r="12" ht="41" customHeight="1" s="14">
      <c r="A12" s="4" t="inlineStr">
        <is>
          <t>數據與誤差</t>
        </is>
      </c>
      <c r="B12" s="4" t="inlineStr">
        <is>
          <t>樣本數夠嗎？適用範圍到哪裡？</t>
        </is>
      </c>
      <c r="C12" s="6" t="n"/>
      <c r="D12" s="6" t="n"/>
      <c r="E12" s="6" t="n"/>
    </row>
    <row r="13" ht="41" customHeight="1" s="14">
      <c r="A13" s="4" t="inlineStr">
        <is>
          <t>反事實</t>
        </is>
      </c>
      <c r="B13" s="4" t="inlineStr">
        <is>
          <t>如果重新做一次，你會改什麼？</t>
        </is>
      </c>
      <c r="C13" s="6" t="n"/>
      <c r="D13" s="6" t="n"/>
      <c r="E13" s="6" t="n"/>
    </row>
    <row r="14" ht="41" customHeight="1" s="14">
      <c r="A14" s="4" t="inlineStr">
        <is>
          <t>反事實</t>
        </is>
      </c>
      <c r="B14" s="4" t="inlineStr">
        <is>
          <t>這個方法的限制在哪裡？什麼情況下會失效？</t>
        </is>
      </c>
      <c r="C14" s="6" t="n"/>
      <c r="D14" s="6" t="n"/>
      <c r="E14" s="6" t="n"/>
    </row>
    <row r="15" ht="41" customHeight="1" s="14">
      <c r="A15" s="4" t="inlineStr">
        <is>
          <t>反事實</t>
        </is>
      </c>
      <c r="B15" s="4" t="inlineStr">
        <is>
          <t>如果換一種方法，代價是什麼？</t>
        </is>
      </c>
      <c r="C15" s="6" t="n"/>
      <c r="D15" s="6" t="n"/>
      <c r="E15" s="6" t="n"/>
    </row>
    <row r="16" ht="41" customHeight="1" s="14">
      <c r="A16" s="4" t="inlineStr">
        <is>
          <t>銜接</t>
        </is>
      </c>
      <c r="B16" s="4" t="inlineStr">
        <is>
          <t>這個題目和本實驗室有什麼關係？（要和研究計畫書的接軌段落一致）</t>
        </is>
      </c>
      <c r="C16" s="6" t="n"/>
      <c r="D16" s="6" t="n"/>
      <c r="E16" s="6" t="n"/>
    </row>
    <row r="17" ht="41" customHeight="1" s="14">
      <c r="A17" s="4" t="inlineStr">
        <is>
          <t>銜接</t>
        </is>
      </c>
      <c r="B17" s="4" t="inlineStr">
        <is>
          <t>你未來想研究什麼？</t>
        </is>
      </c>
      <c r="C17" s="6" t="n"/>
      <c r="D17" s="6" t="n"/>
      <c r="E17" s="6" t="n"/>
    </row>
    <row r="18" ht="42" customHeight="1" s="14">
      <c r="A18" s="9" t="inlineStr">
        <is>
          <t>每一類都先寫答案要點再練口說。括號裡的提示是教授真正在問的東西。</t>
        </is>
      </c>
    </row>
    <row r="19" ht="40" customHeight="1" s="14"/>
    <row r="20" ht="24" customHeight="1" s="14">
      <c r="A20" s="1" t="inlineStr">
        <is>
          <t>二、五步答題框架</t>
        </is>
      </c>
    </row>
    <row r="21" ht="26" customHeight="1" s="14">
      <c r="A21" s="3" t="inlineStr">
        <is>
          <t>步驟</t>
        </is>
      </c>
      <c r="B21" s="3" t="inlineStr">
        <is>
          <t>作用</t>
        </is>
      </c>
      <c r="C21" s="3" t="inlineStr">
        <is>
          <t>練習備註</t>
        </is>
      </c>
    </row>
    <row r="22" ht="32" customHeight="1" s="14">
      <c r="A22" s="4" t="inlineStr">
        <is>
          <t>1 確認問題</t>
        </is>
      </c>
      <c r="B22" s="4" t="inlineStr">
        <is>
          <t>確保答的是他問的，也替自己爭取思考時間</t>
        </is>
      </c>
      <c r="C22" s="6" t="n"/>
    </row>
    <row r="23" ht="32" customHeight="1" s="14">
      <c r="A23" s="4" t="inlineStr">
        <is>
          <t>2 說明原始設計</t>
        </is>
      </c>
      <c r="B23" s="4" t="inlineStr">
        <is>
          <t>這個參數或方法當初為什麼這樣選</t>
        </is>
      </c>
      <c r="C23" s="6" t="n"/>
    </row>
    <row r="24" ht="32" customHeight="1" s="14">
      <c r="A24" s="4" t="inlineStr">
        <is>
          <t>3 解釋原理</t>
        </is>
      </c>
      <c r="B24" s="4" t="inlineStr">
        <is>
          <t>從原理或演算法邏輯推導為什麼會長這樣</t>
        </is>
      </c>
      <c r="C24" s="6" t="n"/>
    </row>
    <row r="25" ht="32" customHeight="1" s="14">
      <c r="A25" s="4" t="inlineStr">
        <is>
          <t>4 承認限制</t>
        </is>
      </c>
      <c r="B25" s="4" t="inlineStr">
        <is>
          <t>誤差來源、樣本數或適用範圍的邊界</t>
        </is>
      </c>
      <c r="C25" s="6" t="n"/>
    </row>
    <row r="26" ht="32" customHeight="1" s="14">
      <c r="A26" s="4" t="inlineStr">
        <is>
          <t>5 提出替代</t>
        </is>
      </c>
      <c r="B26" s="4" t="inlineStr">
        <is>
          <t>如果重做會用什麼方法，代價是什麼</t>
        </is>
      </c>
      <c r="C26" s="6" t="n"/>
    </row>
    <row r="27" ht="42" customHeight="1" s="14">
      <c r="A27" s="9" t="inlineStr">
        <is>
          <t>拿你最沒把握的一張圖，照五步寫一次。寫過才講得出來。</t>
        </is>
      </c>
    </row>
    <row r="28" ht="40" customHeight="1" s="14"/>
    <row r="29" ht="24" customHeight="1" s="14">
      <c r="A29" s="1" t="inlineStr">
        <is>
          <t>三、三張最可能被問的圖：兩層說明</t>
        </is>
      </c>
    </row>
    <row r="30" ht="32" customHeight="1" s="14">
      <c r="A30" s="20" t="inlineStr">
        <is>
          <t>把簡報和備審裡的每一張圖拿出來，逐張練習一句話結論加一段原理推導。這裡先填最可能被問的三張。</t>
        </is>
      </c>
    </row>
    <row r="31" ht="26" customHeight="1" s="14">
      <c r="A31" s="3" t="inlineStr">
        <is>
          <t>圖</t>
        </is>
      </c>
      <c r="B31" s="3" t="inlineStr">
        <is>
          <t>一句話結論（這張圖說明什麼）</t>
        </is>
      </c>
      <c r="C31" s="3" t="inlineStr">
        <is>
          <t>原理推導（為什麼是這個趨勢、量級、形狀）</t>
        </is>
      </c>
    </row>
    <row r="32" ht="32" customHeight="1" s="14">
      <c r="A32" s="4" t="inlineStr">
        <is>
          <t>圖 1</t>
        </is>
      </c>
      <c r="B32" s="6" t="n"/>
      <c r="C32" s="6" t="n"/>
    </row>
    <row r="33" ht="32" customHeight="1" s="14">
      <c r="A33" s="4" t="inlineStr">
        <is>
          <t>圖 2</t>
        </is>
      </c>
      <c r="B33" s="6" t="n"/>
      <c r="C33" s="6" t="n"/>
    </row>
    <row r="34" ht="32" customHeight="1" s="14">
      <c r="A34" s="4" t="inlineStr">
        <is>
          <t>圖 3</t>
        </is>
      </c>
      <c r="B34" s="6" t="n"/>
      <c r="C34" s="6" t="n"/>
    </row>
    <row r="35" ht="42" customHeight="1" s="14">
      <c r="A35" s="9" t="inlineStr">
        <is>
          <t>不理想的數據反而是好材料：說得出原因、修正方式與學到的事，一張弱圖就變成強答案。</t>
        </is>
      </c>
    </row>
    <row r="36" ht="40" customHeight="1" s="14"/>
    <row r="37" ht="24" customHeight="1" s="14">
      <c r="A37" s="1" t="inlineStr">
        <is>
          <t>四、不會的問題：四種句型</t>
        </is>
      </c>
    </row>
    <row r="38" ht="26" customHeight="1" s="14">
      <c r="A38" s="3" t="inlineStr">
        <is>
          <t>句型</t>
        </is>
      </c>
      <c r="B38" s="3" t="inlineStr">
        <is>
          <t>我的版本（換成自己的專題）</t>
        </is>
      </c>
    </row>
    <row r="39" ht="92" customHeight="1" s="14">
      <c r="A39" s="4" t="inlineStr">
        <is>
          <t>「我目前沒有完整答案，但我會先從＿＿方向查證。」</t>
        </is>
      </c>
      <c r="B39" s="6" t="n"/>
    </row>
    <row r="40" ht="92" customHeight="1" s="14">
      <c r="A40" s="4" t="inlineStr">
        <is>
          <t>「如果要驗證這個問題，我會設計＿＿實驗來確認。」</t>
        </is>
      </c>
      <c r="B40" s="6" t="n"/>
    </row>
    <row r="41" ht="92" customHeight="1" s="14">
      <c r="A41" s="4" t="inlineStr">
        <is>
          <t>「目前的資料可能不足以回答，但可以透過＿＿補強。」</t>
        </is>
      </c>
      <c r="B41" s="6" t="n"/>
    </row>
    <row r="42" ht="92" customHeight="1" s="14">
      <c r="A42" s="4" t="inlineStr">
        <is>
          <t>「這點我需要再補充，不過我的初步判斷是＿＿，理由是＿＿。」</t>
        </is>
      </c>
      <c r="B42" s="6" t="n"/>
    </row>
    <row r="43" ht="42" customHeight="1" s="14">
      <c r="A43" s="9" t="inlineStr">
        <is>
          <t>共同結構是：誠實面對不足，接著給出一條可執行的查證或實驗路徑。</t>
        </is>
      </c>
    </row>
    <row r="44" ht="40" customHeight="1" s="14"/>
    <row r="45" ht="42" customHeight="1" s="14">
      <c r="A45" s="9" t="inlineStr">
        <is>
          <t>填完切到「檢核表」分頁。</t>
        </is>
      </c>
    </row>
    <row r="46" ht="14" customHeight="1" s="14"/>
    <row r="47" ht="28" customHeight="1" s="14">
      <c r="A47" s="5" t="inlineStr">
        <is>
          <t># 搭配文章：理工研究所口試怎麼準備？面對技術追問的答辯方法　https://tbd-edu.com/pages/resources/engineering-graduate-oral.html</t>
        </is>
      </c>
    </row>
    <row r="48" ht="28" customHeight="1" s="14">
      <c r="A48" s="5" t="inlineStr">
        <is>
          <t># TBD Studio ｜ https://tbd-edu.com/</t>
        </is>
      </c>
    </row>
  </sheetData>
  <mergeCells count="7">
    <mergeCell ref="A30:E30"/>
    <mergeCell ref="A35:E35"/>
    <mergeCell ref="A43:E43"/>
    <mergeCell ref="A2:E2"/>
    <mergeCell ref="A45:E45"/>
    <mergeCell ref="A18:E18"/>
    <mergeCell ref="A27:E27"/>
  </mergeCells>
  <dataValidations count="1">
    <dataValidation sqref="D6:E17" showDropDown="0" showInputMessage="0" showErrorMessage="0" allowBlank="0" type="list">
      <formula1>"✓"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showGridLines="0" zoomScale="75" workbookViewId="0">
      <pane ySplit="2" topLeftCell="A28" activePane="bottomLeft" state="frozen"/>
      <selection pane="bottomLeft" activeCell="A42" sqref="A42:XFD42"/>
    </sheetView>
  </sheetViews>
  <sheetFormatPr baseColWidth="10" defaultColWidth="9" defaultRowHeight="14"/>
  <cols>
    <col width="82" customWidth="1" style="14" min="1" max="1"/>
    <col width="17.3984375" customWidth="1" style="14" min="2" max="2"/>
    <col width="89.3984375" customWidth="1" style="14" min="3" max="3"/>
    <col width="12" customWidth="1" style="14" min="4" max="6"/>
  </cols>
  <sheetData>
    <row r="1" ht="30" customHeight="1" s="14">
      <c r="A1" s="2" t="inlineStr">
        <is>
          <t>理工｜口試自我檢核表　v1</t>
        </is>
      </c>
    </row>
    <row r="2" ht="28" customHeight="1" s="14">
      <c r="A2" s="17" t="inlineStr">
        <is>
          <t>4 區共 25 項。當場講得出來才打 ✓，「應該會吧」留白。判準見「先讀這裡」分頁。淡黃色的儲存格是要你填或勾的，其餘是給你讀的。</t>
        </is>
      </c>
    </row>
    <row r="3" ht="40" customHeight="1" s="14"/>
    <row r="4" ht="24" customHeight="1" s="14">
      <c r="A4" s="1" t="inlineStr">
        <is>
          <t>第 1 區　簡報與數據答辯（8 項）</t>
        </is>
      </c>
    </row>
    <row r="5" ht="26" customHeight="1" s="14">
      <c r="A5" s="3" t="inlineStr">
        <is>
          <t>檢核項目</t>
        </is>
      </c>
      <c r="B5" s="3" t="inlineStr">
        <is>
          <t>確認</t>
        </is>
      </c>
      <c r="C5" s="3" t="inlineStr">
        <is>
          <t>沒打勾的話，下一步</t>
        </is>
      </c>
    </row>
    <row r="6" ht="32" customHeight="1" s="14">
      <c r="A6" s="4" t="inlineStr">
        <is>
          <t>簡報做成模組化版本，時間被壓縮時知道先講什麼</t>
        </is>
      </c>
      <c r="B6" s="6" t="n"/>
      <c r="C6" s="4" t="inlineStr">
        <is>
          <t>核心是專題與研究方向，前後可依時間伸縮。</t>
        </is>
      </c>
    </row>
    <row r="7" ht="32" customHeight="1" s="14">
      <c r="A7" s="4" t="inlineStr">
        <is>
          <t>每張數據圖表有一句話結論＋一段原理說明</t>
        </is>
      </c>
      <c r="B7" s="6" t="n"/>
      <c r="C7" s="4" t="inlineStr">
        <is>
          <t>回題庫與素材第三節，先填最可能被問的三張。</t>
        </is>
      </c>
    </row>
    <row r="8" ht="32" customHeight="1" s="14">
      <c r="A8" s="4" t="inlineStr">
        <is>
          <t>針對目標實驗室調整過內容（不是每間都用同一份）</t>
        </is>
      </c>
      <c r="B8" s="6" t="n"/>
      <c r="C8" s="4" t="inlineStr">
        <is>
          <t>接軌段落要對到那間實驗室的方向。</t>
        </is>
      </c>
    </row>
    <row r="9" ht="32" customHeight="1" s="14">
      <c r="A9" s="4" t="inlineStr">
        <is>
          <t>專題中「我負責的部分」在簡報中清楚可辨</t>
        </is>
      </c>
      <c r="B9" s="6" t="n"/>
      <c r="C9" s="4" t="inlineStr">
        <is>
          <t>教授要分辨這個成果有多少是你的，先自己標出來。</t>
        </is>
      </c>
    </row>
    <row r="10" ht="32" customHeight="1" s="14">
      <c r="A10" s="4" t="inlineStr">
        <is>
          <t>每張圖能從原理或演算法邏輯推導「為什麼長這樣」</t>
        </is>
      </c>
      <c r="B10" s="6" t="n"/>
      <c r="C10" s="4" t="inlineStr">
        <is>
          <t>做不到的那張，上場會變成破口。回第三節。</t>
        </is>
      </c>
    </row>
    <row r="11" ht="32" customHeight="1" s="14">
      <c r="A11" s="4" t="inlineStr">
        <is>
          <t>不理想的數據能說明原因、修正方式與學到的事</t>
        </is>
      </c>
      <c r="B11" s="6" t="n"/>
      <c r="C11" s="4" t="inlineStr">
        <is>
          <t>回題庫數據與誤差第二題。</t>
        </is>
      </c>
    </row>
    <row r="12" ht="32" customHeight="1" s="14">
      <c r="A12" s="4" t="inlineStr">
        <is>
          <t>誤差來源、樣本數、實驗限制都想過答案</t>
        </is>
      </c>
      <c r="B12" s="6" t="n"/>
      <c r="C12" s="4" t="inlineStr">
        <is>
          <t>回題庫數據與誤差第三、四題。</t>
        </is>
      </c>
    </row>
    <row r="13" ht="32" customHeight="1" s="14">
      <c r="A13" s="4" t="inlineStr">
        <is>
          <t>方法的替代方案比較過，答得出「為什麼不用另一種」</t>
        </is>
      </c>
      <c r="B13" s="6" t="n"/>
      <c r="C13" s="4" t="inlineStr">
        <is>
          <t>回題庫選題與方法第二題。</t>
        </is>
      </c>
    </row>
    <row r="14" ht="42" customHeight="1" s="14">
      <c r="A14" s="9" t="inlineStr">
        <is>
          <t>每張圖兩層說明。做不到的那張圖，上場會變成破口。</t>
        </is>
      </c>
    </row>
    <row r="15" ht="40" customHeight="1" s="14"/>
    <row r="16" ht="24" customHeight="1" s="14">
      <c r="A16" s="1" t="inlineStr">
        <is>
          <t>第 2 區　追問應對與行政（8 項）</t>
        </is>
      </c>
    </row>
    <row r="17" ht="26" customHeight="1" s="14">
      <c r="A17" s="3" t="inlineStr">
        <is>
          <t>檢核項目</t>
        </is>
      </c>
      <c r="B17" s="3" t="inlineStr">
        <is>
          <t>確認</t>
        </is>
      </c>
      <c r="C17" s="3" t="inlineStr">
        <is>
          <t>沒打勾的話，下一步</t>
        </is>
      </c>
    </row>
    <row r="18" ht="48" customHeight="1" s="14">
      <c r="A18" s="4" t="inlineStr">
        <is>
          <t>練過「不會的問題」的回應：承認邊界＋提出查證或實驗路徑</t>
        </is>
      </c>
      <c r="B18" s="6" t="n"/>
      <c r="C18" s="4" t="inlineStr">
        <is>
          <t>回題庫與素材第四節，四種句型各寫一次。</t>
        </is>
      </c>
    </row>
    <row r="19" ht="32" customHeight="1" s="14">
      <c r="A19" s="4" t="inlineStr">
        <is>
          <t>「這個題目和貴實驗室的關係」答案與研究計畫書一致</t>
        </is>
      </c>
      <c r="B19" s="6" t="n"/>
      <c r="C19" s="4" t="inlineStr">
        <is>
          <t>回去讀計畫書的接軌段落。</t>
        </is>
      </c>
    </row>
    <row r="20" ht="32" customHeight="1" s="14">
      <c r="A20" s="4" t="inlineStr">
        <is>
          <t>「未來想研究什麼」有具體方向</t>
        </is>
      </c>
      <c r="B20" s="6" t="n"/>
      <c r="C20" s="4" t="inlineStr">
        <is>
          <t>回題庫銜接第二題。</t>
        </is>
      </c>
    </row>
    <row r="21" ht="32" customHeight="1" s="14">
      <c r="A21" s="4" t="inlineStr">
        <is>
          <t>找同學或學長姐模擬過限時追問</t>
        </is>
      </c>
      <c r="B21" s="6" t="n"/>
      <c r="C21" s="4" t="inlineStr">
        <is>
          <t>拿著你的簡報當質疑方，限時追問。一定要被打斷過。</t>
        </is>
      </c>
    </row>
    <row r="22" ht="32" customHeight="1" s="14">
      <c r="A22" s="4" t="inlineStr">
        <is>
          <t>各校口試形式、時間、資格已按簡章逐校確認</t>
        </is>
      </c>
      <c r="B22" s="6" t="n"/>
      <c r="C22" s="4" t="inlineStr">
        <is>
          <t>以簡章或通知為準，不要用歷屆經驗猜。</t>
        </is>
      </c>
    </row>
    <row r="23" ht="32" customHeight="1" s="14">
      <c r="A23" s="4" t="inlineStr">
        <is>
          <t>備審與計畫書裡寫的每段經歷都重新讀過（都可能被問）</t>
        </is>
      </c>
      <c r="B23" s="6" t="n"/>
      <c r="C23" s="4" t="inlineStr">
        <is>
          <t>用「如果是我來質疑，我會問哪裡」的視角讀。</t>
        </is>
      </c>
    </row>
    <row r="24" ht="32" customHeight="1" s="14">
      <c r="A24" s="4" t="inlineStr">
        <is>
          <t>領域核心術語的英文說法整理過（部分系所有英文提問）</t>
        </is>
      </c>
      <c r="B24" s="6" t="n"/>
      <c r="C24" s="4" t="inlineStr">
        <is>
          <t>讀論文時本來就會累積，考前整理一次即可。</t>
        </is>
      </c>
    </row>
    <row r="25" ht="48" customHeight="1" s="14">
      <c r="A25" s="4" t="inlineStr">
        <is>
          <t>設備備援：簡報檔多格式備份、線上口試測試過鏡頭與麥克風</t>
        </is>
      </c>
      <c r="B25" s="6" t="n"/>
      <c r="C25" s="4" t="inlineStr">
        <is>
          <t>PDF 與原檔各備一份。</t>
        </is>
      </c>
    </row>
    <row r="26" ht="42" customHeight="1" s="14">
      <c r="A26" s="9" t="inlineStr">
        <is>
          <t>行政項目最容易被當成小事。形式、時間與設備出錯，準備再多也發揮不出來。</t>
        </is>
      </c>
    </row>
    <row r="27" ht="40" customHeight="1" s="14"/>
    <row r="28" ht="24" customHeight="1" s="14">
      <c r="A28" s="1" t="inlineStr">
        <is>
          <t>第 3 區　上場前檢核（3 項　沒滿就還不能上場）</t>
        </is>
      </c>
    </row>
    <row r="29" ht="26" customHeight="1" s="14">
      <c r="A29" s="3" t="inlineStr">
        <is>
          <t>檢核項目</t>
        </is>
      </c>
      <c r="B29" s="3" t="inlineStr">
        <is>
          <t>確認</t>
        </is>
      </c>
      <c r="C29" s="3" t="inlineStr">
        <is>
          <t>沒打勾的話，下一步</t>
        </is>
      </c>
    </row>
    <row r="30" ht="48" customHeight="1" s="14">
      <c r="A30" s="4" t="inlineStr">
        <is>
          <t>教授指著數據問「這張圖為什麼長這樣」，我能從原理推導答案嗎？</t>
        </is>
      </c>
      <c r="B30" s="6" t="n"/>
      <c r="C30" s="4" t="inlineStr">
        <is>
          <t>回題庫與素材第三節。</t>
        </is>
      </c>
    </row>
    <row r="31" ht="32" customHeight="1" s="14">
      <c r="A31" s="4" t="inlineStr">
        <is>
          <t>被問到不理想的數據，我能說明原因與改進方式嗎？</t>
        </is>
      </c>
      <c r="B31" s="6" t="n"/>
      <c r="C31" s="4" t="inlineStr">
        <is>
          <t>回題庫數據與誤差第二題。</t>
        </is>
      </c>
    </row>
    <row r="32" ht="48" customHeight="1" s="14">
      <c r="A32" s="4" t="inlineStr">
        <is>
          <t>被問到不會的問題，我能提出下一步的查證方法，而不是卡住嗎？</t>
        </is>
      </c>
      <c r="B32" s="6" t="n"/>
      <c r="C32" s="4" t="inlineStr">
        <is>
          <t>回題庫與素材第四節。</t>
        </is>
      </c>
    </row>
    <row r="33" ht="42" customHeight="1" s="14">
      <c r="A33" s="9" t="inlineStr">
        <is>
          <t>三個都能點頭，你就準備好走進口試現場了。它們不是新工作，是把前面的準備再問一次。</t>
        </is>
      </c>
    </row>
    <row r="34" ht="40" customHeight="1" s="14"/>
    <row r="35" ht="24" customHeight="1" s="14">
      <c r="A35" s="1" t="inlineStr">
        <is>
          <t>第 4 區　常見失分點（6 項　✓ 代表我不會這樣答）</t>
        </is>
      </c>
    </row>
    <row r="36" ht="26" customHeight="1" s="14">
      <c r="A36" s="3" t="inlineStr">
        <is>
          <t>檢核項目</t>
        </is>
      </c>
      <c r="B36" s="3" t="inlineStr">
        <is>
          <t>確認</t>
        </is>
      </c>
      <c r="C36" s="3" t="inlineStr">
        <is>
          <t>沒打勾的話，下一步</t>
        </is>
      </c>
    </row>
    <row r="37" ht="32" customHeight="1" s="14">
      <c r="A37" s="4" t="inlineStr">
        <is>
          <t>答得出圖表怎麼做，答不出為什麼長這樣</t>
        </is>
      </c>
      <c r="B37" s="6" t="n"/>
      <c r="C37" s="4" t="inlineStr">
        <is>
          <t>回題庫與素材第三節，補原理推導那一層。</t>
        </is>
      </c>
    </row>
    <row r="38" ht="32" customHeight="1" s="14">
      <c r="A38" s="4" t="inlineStr">
        <is>
          <t>不理想的數據只說設備問題，沒有原因分析與修正方式</t>
        </is>
      </c>
      <c r="B38" s="6" t="n"/>
      <c r="C38" s="4" t="inlineStr">
        <is>
          <t>回題庫數據與誤差第二題。</t>
        </is>
      </c>
    </row>
    <row r="39" ht="32" customHeight="1" s="14">
      <c r="A39" s="4" t="inlineStr">
        <is>
          <t>方法只講名稱與流程，答不出為什麼不用另一種</t>
        </is>
      </c>
      <c r="B39" s="6" t="n"/>
      <c r="C39" s="4" t="inlineStr">
        <is>
          <t>回題庫選題與方法第二題。</t>
        </is>
      </c>
    </row>
    <row r="40" ht="32" customHeight="1" s="14">
      <c r="A40" s="4" t="inlineStr">
        <is>
          <t>誤差來源、樣本數與實驗限制沒想過</t>
        </is>
      </c>
      <c r="B40" s="6" t="n"/>
      <c r="C40" s="4" t="inlineStr">
        <is>
          <t>回題庫數據與誤差第三、四題。</t>
        </is>
      </c>
    </row>
    <row r="41" ht="32" customHeight="1" s="14">
      <c r="A41" s="4" t="inlineStr">
        <is>
          <t>「這個題目和貴實驗室的關係」答案與研究計畫書不一致</t>
        </is>
      </c>
      <c r="B41" s="6" t="n"/>
      <c r="C41" s="4" t="inlineStr">
        <is>
          <t>回研究計畫書的接軌段落。</t>
        </is>
      </c>
    </row>
    <row r="42" ht="32" customHeight="1" s="14">
      <c r="A42" s="4" t="inlineStr">
        <is>
          <t>被問到不會的問題時卡住，沒有提出查證或實驗路徑</t>
        </is>
      </c>
      <c r="B42" s="6" t="n"/>
      <c r="C42" s="4" t="inlineStr">
        <is>
          <t>回題庫與素材第四節。</t>
        </is>
      </c>
    </row>
    <row r="43" ht="42" customHeight="1" s="14">
      <c r="A43" s="9" t="inlineStr">
        <is>
          <t>打完切到「我到哪了」分頁看結果。</t>
        </is>
      </c>
    </row>
    <row r="44" ht="14" customHeight="1" s="14"/>
    <row r="45" ht="28" customHeight="1" s="14">
      <c r="A45" s="5" t="inlineStr">
        <is>
          <t># 搭配文章：理工研究所口試怎麼準備？面對技術追問的答辯方法　https://tbd-edu.com/pages/resources/engineering-graduate-oral.html</t>
        </is>
      </c>
    </row>
    <row r="46" ht="28" customHeight="1" s="14">
      <c r="A46" s="5" t="inlineStr">
        <is>
          <t># TBD Studio ｜ https://tbd-edu.com/</t>
        </is>
      </c>
    </row>
  </sheetData>
  <mergeCells count="5">
    <mergeCell ref="A33:C33"/>
    <mergeCell ref="A14:C14"/>
    <mergeCell ref="A26:C26"/>
    <mergeCell ref="A43:C43"/>
    <mergeCell ref="A2:C2"/>
  </mergeCells>
  <dataValidations count="1">
    <dataValidation sqref="B6:B13 B18:B25 B30:B32 B37:B42" showDropDown="0" showInputMessage="0" showErrorMessage="0" allowBlank="0" type="list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zoomScale="75" workbookViewId="0">
      <pane ySplit="2" topLeftCell="A7" activePane="bottomLeft" state="frozen"/>
      <selection pane="bottomLeft" activeCell="A19" activeCellId="1" sqref="A13:XFD13 A19:XFD19"/>
    </sheetView>
  </sheetViews>
  <sheetFormatPr baseColWidth="10" defaultColWidth="9" defaultRowHeight="14"/>
  <cols>
    <col width="43.59765625" customWidth="1" style="14" min="1" max="1"/>
    <col width="20.3984375" customWidth="1" style="14" min="2" max="2"/>
    <col width="60.59765625" customWidth="1" style="14" min="3" max="3"/>
    <col width="78.59765625" customWidth="1" style="14" min="4" max="4"/>
    <col width="12" customWidth="1" style="14" min="5" max="6"/>
  </cols>
  <sheetData>
    <row r="1" ht="30" customHeight="1" s="14">
      <c r="A1" s="2" t="inlineStr">
        <is>
          <t>理工｜口試自我檢核表　v1</t>
        </is>
      </c>
    </row>
    <row r="2" ht="28" customHeight="1" s="14">
      <c r="A2" s="17" t="inlineStr">
        <is>
          <t>數字會跟著前面的分頁自動變。留白的項目就是你接下來的工作清單。</t>
        </is>
      </c>
    </row>
    <row r="3" ht="40" customHeight="1" s="14"/>
    <row r="4" ht="24" customHeight="1" s="14">
      <c r="A4" s="1" t="inlineStr">
        <is>
          <t>6 區完成度</t>
        </is>
      </c>
    </row>
    <row r="5" ht="26" customHeight="1" s="14">
      <c r="A5" s="3" t="inlineStr">
        <is>
          <t>區塊</t>
        </is>
      </c>
      <c r="B5" s="3" t="inlineStr">
        <is>
          <t>已確認</t>
        </is>
      </c>
      <c r="C5" s="3" t="inlineStr">
        <is>
          <t>完成的比例（滿格代表這一區做完）</t>
        </is>
      </c>
      <c r="D5" s="3" t="inlineStr">
        <is>
          <t>這一區在檢查什麼</t>
        </is>
      </c>
    </row>
    <row r="6" ht="32" customHeight="1" s="14">
      <c r="A6" s="4" t="inlineStr">
        <is>
          <t>題庫：寫出答案</t>
        </is>
      </c>
      <c r="B6" s="4">
        <f>COUNTIF(題庫與素材!D6:D17,"✓")&amp;" / 12"</f>
        <v/>
      </c>
      <c r="C6" s="4">
        <f>IF(COUNTIF(題庫與素材!D6:D17,"✓")=0,"尚未開始",REPT("█",ROUND(COUNTIF(題庫與素材!D6:D17,"✓")/12*16,0)))</f>
        <v/>
      </c>
      <c r="D6" s="4" t="inlineStr">
        <is>
          <t>四類追問十二題，寫得出答案要點了沒。</t>
        </is>
      </c>
    </row>
    <row r="7" ht="32" customHeight="1" s="14">
      <c r="A7" s="4" t="inlineStr">
        <is>
          <t>題庫：練過口說</t>
        </is>
      </c>
      <c r="B7" s="4">
        <f>COUNTIF(題庫與素材!E6:E17,"✓")&amp;" / 12"</f>
        <v/>
      </c>
      <c r="C7" s="4">
        <f>IF(COUNTIF(題庫與素材!E6:E17,"✓")=0,"尚未開始",REPT("█",ROUND(COUNTIF(題庫與素材!E6:E17,"✓")/12*16,0)))</f>
        <v/>
      </c>
      <c r="D7" s="4" t="inlineStr">
        <is>
          <t>同樣十二題，被限時追問時講得出來了沒。</t>
        </is>
      </c>
    </row>
    <row r="8" ht="32" customHeight="1" s="14">
      <c r="A8" s="4" t="inlineStr">
        <is>
          <t>簡報與數據答辯</t>
        </is>
      </c>
      <c r="B8" s="4">
        <f>COUNTIF(檢核表!B6:B13,"✓")&amp;" / 8"</f>
        <v/>
      </c>
      <c r="C8" s="4">
        <f>IF(COUNTIF(檢核表!B6:B13,"✓")=0,"尚未開始",REPT("█",ROUND(COUNTIF(檢核表!B6:B13,"✓")/8*16,0)))</f>
        <v/>
      </c>
      <c r="D8" s="4" t="inlineStr">
        <is>
          <t>簡報模組化了沒、每張圖能不能從原理推導。</t>
        </is>
      </c>
    </row>
    <row r="9" ht="32" customHeight="1" s="14">
      <c r="A9" s="4" t="inlineStr">
        <is>
          <t>追問應對與行政</t>
        </is>
      </c>
      <c r="B9" s="4">
        <f>COUNTIF(檢核表!B18:B25,"✓")&amp;" / 8"</f>
        <v/>
      </c>
      <c r="C9" s="4">
        <f>IF(COUNTIF(檢核表!B18:B25,"✓")=0,"尚未開始",REPT("█",ROUND(COUNTIF(檢核表!B18:B25,"✓")/8*16,0)))</f>
        <v/>
      </c>
      <c r="D9" s="4" t="inlineStr">
        <is>
          <t>不會的問題練過了沒、銜接段一致了沒、現場準備。</t>
        </is>
      </c>
    </row>
    <row r="10" ht="32" customHeight="1" s="14">
      <c r="A10" s="4" t="inlineStr">
        <is>
          <t>上場前檢核</t>
        </is>
      </c>
      <c r="B10" s="4">
        <f>COUNTIF(檢核表!B30:B32,"✓")&amp;" / 3"</f>
        <v/>
      </c>
      <c r="C10" s="4">
        <f>IF(COUNTIF(檢核表!B30:B32,"✓")=0,"尚未開始",REPT("█",ROUND(COUNTIF(檢核表!B30:B32,"✓")/3*16,0)))</f>
        <v/>
      </c>
      <c r="D10" s="4" t="inlineStr">
        <is>
          <t>最後那道閘門。三個都點頭才能上場。</t>
        </is>
      </c>
    </row>
    <row r="11" ht="32" customHeight="1" s="14">
      <c r="A11" s="4" t="inlineStr">
        <is>
          <t>常見失分點</t>
        </is>
      </c>
      <c r="B11" s="4">
        <f>COUNTIF(檢核表!B37:B42,"✓")&amp;" / 6"</f>
        <v/>
      </c>
      <c r="C11" s="4">
        <f>IF(COUNTIF(檢核表!B37:B42,"✓")=0,"尚未開始",REPT("█",ROUND(COUNTIF(檢核表!B37:B42,"✓")/6*16,0)))</f>
        <v/>
      </c>
      <c r="D11" s="4" t="inlineStr">
        <is>
          <t>有沒有踩到最常見的六個失分回答。</t>
        </is>
      </c>
    </row>
    <row r="12" ht="32" customHeight="1" s="14">
      <c r="A12" s="4" t="inlineStr">
        <is>
          <t>合計</t>
        </is>
      </c>
      <c r="B12" s="4">
        <f>(COUNTIF(題庫與素材!D6:D17,"✓")+COUNTIF(題庫與素材!E6:E17,"✓")+COUNTIF(檢核表!B6:B13,"✓")+COUNTIF(檢核表!B18:B25,"✓")+COUNTIF(檢核表!B30:B32,"✓")+COUNTIF(檢核表!B37:B42,"✓"))&amp;" / 49"</f>
        <v/>
      </c>
      <c r="C12" s="4">
        <f>IF((COUNTIF(題庫與素材!D6:D17,"✓")+COUNTIF(題庫與素材!E6:E17,"✓")+COUNTIF(檢核表!B6:B13,"✓")+COUNTIF(檢核表!B18:B25,"✓")+COUNTIF(檢核表!B30:B32,"✓")+COUNTIF(檢核表!B37:B42,"✓"))=0,"尚未開始",REPT("█",ROUND((COUNTIF(題庫與素材!D6:D17,"✓")+COUNTIF(題庫與素材!E6:E17,"✓")+COUNTIF(檢核表!B6:B13,"✓")+COUNTIF(檢核表!B18:B25,"✓")+COUNTIF(檢核表!B30:B32,"✓")+COUNTIF(檢核表!B37:B42,"✓"))/49*16,0)))</f>
        <v/>
      </c>
      <c r="D12" s="4" t="inlineStr">
        <is>
          <t>完成率見下方。</t>
        </is>
      </c>
    </row>
    <row r="13" ht="42" customHeight="1" s="14">
      <c r="A13" s="9" t="inlineStr">
        <is>
          <t>7 條長條都換算成同一個滿格刻度，所以可以直接互相比。最短的那一區就是你目前最弱的地方。</t>
        </is>
      </c>
    </row>
    <row r="14" ht="40" customHeight="1" s="14"/>
    <row r="15" ht="24" customHeight="1" s="14">
      <c r="A15" s="1" t="inlineStr">
        <is>
          <t>還有什麼可以做</t>
        </is>
      </c>
    </row>
    <row r="16" ht="26" customHeight="1" s="14">
      <c r="A16" s="3" t="inlineStr">
        <is>
          <t>完成率</t>
        </is>
      </c>
      <c r="B16" s="3" t="inlineStr">
        <is>
          <t>還沒打勾</t>
        </is>
      </c>
      <c r="C16" s="3" t="inlineStr">
        <is>
          <t>怎麼用這兩個數字</t>
        </is>
      </c>
    </row>
    <row r="17" ht="70" customHeight="1" s="14">
      <c r="A17" s="7">
        <f>(COUNTIF(題庫與素材!D6:D17,"✓")+COUNTIF(題庫與素材!E6:E17,"✓")+COUNTIF(檢核表!B6:B13,"✓")+COUNTIF(檢核表!B18:B25,"✓")+COUNTIF(檢核表!B30:B32,"✓")+COUNTIF(檢核表!B37:B42,"✓"))/49</f>
        <v/>
      </c>
      <c r="B17" s="4">
        <f>49-(COUNTIF(題庫與素材!D6:D17,"✓")+COUNTIF(題庫與素材!E6:E17,"✓")+COUNTIF(檢核表!B6:B13,"✓")+COUNTIF(檢核表!B18:B25,"✓")+COUNTIF(檢核表!B30:B32,"✓")+COUNTIF(檢核表!B37:B42,"✓"))</f>
        <v/>
      </c>
      <c r="C17" s="4" t="inlineStr">
        <is>
          <t>「還沒打勾」就是你的工作清單長度。回「檢核表」看那幾列的「下一步」欄，一項對應一件要做的事。</t>
        </is>
      </c>
    </row>
    <row r="18" ht="42" customHeight="1" s="14">
      <c r="A18" s="9" t="inlineStr">
        <is>
          <t>不用追求一次補完。每次回來處理三到五項，隔幾天再打一次，你會看得到自己的進度。</t>
        </is>
      </c>
    </row>
    <row r="19" ht="14" customHeight="1" s="14"/>
    <row r="20" ht="28" customHeight="1" s="14">
      <c r="A20" s="5" t="inlineStr">
        <is>
          <t># 搭配文章：理工研究所口試怎麼準備？面對技術追問的答辯方法　https://tbd-edu.com/pages/resources/engineering-graduate-oral.html</t>
        </is>
      </c>
    </row>
    <row r="21" ht="28" customHeight="1" s="14">
      <c r="A21" s="5" t="inlineStr">
        <is>
          <t># TBD Studio ｜ https://tbd-edu.com/</t>
        </is>
      </c>
    </row>
  </sheetData>
  <mergeCells count="3">
    <mergeCell ref="A18:D18"/>
    <mergeCell ref="A13:D13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tabSelected="1" zoomScale="75" workbookViewId="0">
      <pane ySplit="2" topLeftCell="A3" activePane="bottomLeft" state="frozen"/>
      <selection pane="bottomLeft" activeCell="C17" sqref="C17"/>
    </sheetView>
  </sheetViews>
  <sheetFormatPr baseColWidth="10" defaultColWidth="9" defaultRowHeight="14"/>
  <cols>
    <col width="16" customWidth="1" style="14" min="1" max="1"/>
    <col width="22" customWidth="1" style="14" min="2" max="2"/>
    <col width="67.796875" customWidth="1" style="14" min="3" max="3"/>
    <col width="64.796875" customWidth="1" style="14" min="4" max="4"/>
    <col width="14" customWidth="1" style="14" min="5" max="5"/>
    <col width="12" customWidth="1" style="14" min="6" max="6"/>
  </cols>
  <sheetData>
    <row r="1" ht="30" customHeight="1" s="14">
      <c r="A1" s="2" t="inlineStr">
        <is>
          <t>理工｜口試自我檢核表　v1</t>
        </is>
      </c>
    </row>
    <row r="2" ht="28" customHeight="1" s="14">
      <c r="A2" s="17" t="inlineStr">
        <is>
          <t>每模擬一次記一列。被問倒的地方就是接下來要補的，不用寫得漂亮。淡黃色的儲存格是要你填或勾的，其餘是給你讀的。</t>
        </is>
      </c>
    </row>
    <row r="3" ht="40" customHeight="1" s="14"/>
    <row r="4" ht="24" customHeight="1" s="14">
      <c r="A4" s="1" t="inlineStr">
        <is>
          <t>模擬追問紀錄</t>
        </is>
      </c>
    </row>
    <row r="5" ht="26" customHeight="1" s="14">
      <c r="A5" s="3" t="inlineStr">
        <is>
          <t>日期</t>
        </is>
      </c>
      <c r="B5" s="3" t="inlineStr">
        <is>
          <t>追問類型</t>
        </is>
      </c>
      <c r="C5" s="3" t="inlineStr">
        <is>
          <t>被問倒的地方</t>
        </is>
      </c>
      <c r="D5" s="3" t="inlineStr">
        <is>
          <t>我的下一步</t>
        </is>
      </c>
      <c r="E5" s="3" t="inlineStr">
        <is>
          <t>已改進</t>
        </is>
      </c>
    </row>
    <row r="6" ht="32" customHeight="1" s="14">
      <c r="A6" s="8" t="n"/>
      <c r="B6" s="6" t="n"/>
      <c r="C6" s="6" t="n"/>
      <c r="D6" s="6" t="n"/>
      <c r="E6" s="6" t="n"/>
    </row>
    <row r="7" ht="32" customHeight="1" s="14">
      <c r="A7" s="8" t="n"/>
      <c r="B7" s="6" t="n"/>
      <c r="C7" s="6" t="n"/>
      <c r="D7" s="6" t="n"/>
      <c r="E7" s="6" t="n"/>
    </row>
    <row r="8" ht="32" customHeight="1" s="14">
      <c r="A8" s="8" t="n"/>
      <c r="B8" s="6" t="n"/>
      <c r="C8" s="6" t="n"/>
      <c r="D8" s="6" t="n"/>
      <c r="E8" s="6" t="n"/>
    </row>
    <row r="9" ht="32" customHeight="1" s="14">
      <c r="A9" s="8" t="n"/>
      <c r="B9" s="6" t="n"/>
      <c r="C9" s="6" t="n"/>
      <c r="D9" s="6" t="n"/>
      <c r="E9" s="6" t="n"/>
    </row>
    <row r="10" ht="32" customHeight="1" s="14">
      <c r="A10" s="8" t="n"/>
      <c r="B10" s="6" t="n"/>
      <c r="C10" s="6" t="n"/>
      <c r="D10" s="6" t="n"/>
      <c r="E10" s="6" t="n"/>
    </row>
    <row r="11" ht="32" customHeight="1" s="14">
      <c r="A11" s="8" t="n"/>
      <c r="B11" s="6" t="n"/>
      <c r="C11" s="6" t="n"/>
      <c r="D11" s="6" t="n"/>
      <c r="E11" s="6" t="n"/>
    </row>
    <row r="12" ht="32" customHeight="1" s="14">
      <c r="A12" s="8" t="n"/>
      <c r="B12" s="6" t="n"/>
      <c r="C12" s="6" t="n"/>
      <c r="D12" s="6" t="n"/>
      <c r="E12" s="6" t="n"/>
    </row>
    <row r="13" ht="32" customHeight="1" s="14">
      <c r="A13" s="8" t="n"/>
      <c r="B13" s="6" t="n"/>
      <c r="C13" s="6" t="n"/>
      <c r="D13" s="6" t="n"/>
      <c r="E13" s="6" t="n"/>
    </row>
    <row r="14" ht="32" customHeight="1" s="14">
      <c r="A14" s="8" t="n"/>
      <c r="B14" s="6" t="n"/>
      <c r="C14" s="6" t="n"/>
      <c r="D14" s="6" t="n"/>
      <c r="E14" s="6" t="n"/>
    </row>
    <row r="15" ht="32" customHeight="1" s="14">
      <c r="A15" s="8" t="n"/>
      <c r="B15" s="6" t="n"/>
      <c r="C15" s="6" t="n"/>
      <c r="D15" s="6" t="n"/>
      <c r="E15" s="6" t="n"/>
    </row>
    <row r="16" ht="42" customHeight="1" s="14">
      <c r="A16" s="9" t="inlineStr">
        <is>
          <t>自己想過和被別人限時追問是兩種壓力。請同學或學長姐拿著你的簡報當質疑方，四類方向都要問到。</t>
        </is>
      </c>
    </row>
    <row r="17" ht="14" customHeight="1" s="14"/>
    <row r="18" ht="28" customHeight="1" s="14">
      <c r="A18" s="5" t="inlineStr">
        <is>
          <t># 搭配文章：理工研究所口試怎麼準備？面對技術追問的答辯方法　https://tbd-edu.com/pages/resources/engineering-graduate-oral.html</t>
        </is>
      </c>
    </row>
    <row r="19" ht="28" customHeight="1" s="14">
      <c r="A19" s="5" t="inlineStr">
        <is>
          <t># TBD Studio ｜ https://tbd-edu.com/</t>
        </is>
      </c>
    </row>
  </sheetData>
  <mergeCells count="2">
    <mergeCell ref="A2:E2"/>
    <mergeCell ref="A16:E16"/>
  </mergeCells>
  <dataValidations count="2">
    <dataValidation sqref="E6:E15" showDropDown="0" showInputMessage="0" showErrorMessage="0" allowBlank="0" type="list">
      <formula1>"是,還沒"</formula1>
    </dataValidation>
    <dataValidation sqref="B6:B15" showDropDown="0" showInputMessage="0" showErrorMessage="0" allowBlank="0" type="list">
      <formula1>"選題與方法,數據與誤差,反事實,銜接"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2026-09-21T09:18:00Z</dcterms:created>
  <dcterms:modified xmlns:dcterms="http://purl.org/dc/terms/" xmlns:xsi="http://www.w3.org/2001/XMLSchema-instance" xsi:type="dcterms:W3CDTF">2026-09-24T14:04:38Z</dcterms:modified>
  <cp:lastModifiedBy>TBD Studio</cp:lastModifiedBy>
</cp:coreProperties>
</file>