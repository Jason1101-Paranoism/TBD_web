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4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題庫與素材" sheetId="2" state="visible" r:id="rId2"/>
    <sheet xmlns:r="http://schemas.openxmlformats.org/officeDocument/2006/relationships" name="檢核表" sheetId="3" state="visible" r:id="rId3"/>
    <sheet xmlns:r="http://schemas.openxmlformats.org/officeDocument/2006/relationships" name="我到哪了" sheetId="4" state="visible" r:id="rId4"/>
    <sheet xmlns:r="http://schemas.openxmlformats.org/officeDocument/2006/relationships" name="模擬追問紀錄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Calibri"/>
      <color theme="1"/>
      <sz val="11"/>
      <scheme val="minor"/>
    </font>
    <font>
      <name val="PMingLiU"/>
      <charset val="136"/>
      <family val="1"/>
      <color theme="1"/>
      <sz val="11"/>
    </font>
    <font>
      <name val="Calibri"/>
      <family val="2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Calibri"/>
      <charset val="136"/>
      <family val="3"/>
      <sz val="9"/>
      <scheme val="minor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Calibri"/>
      <family val="2"/>
      <sz val="11"/>
    </font>
    <font>
      <name val="Arial"/>
      <family val="2"/>
      <sz val="16"/>
    </font>
    <font>
      <name val="Arial"/>
      <family val="2"/>
      <b val="1"/>
      <color rgb="FFA54E3D"/>
      <sz val="16"/>
    </font>
    <font>
      <name val="Courier New"/>
      <family val="1"/>
      <color theme="1" tint="0.3499862666707358"/>
      <sz val="16"/>
    </font>
  </fonts>
  <fills count="8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 style="thin">
        <color rgb="FFC8D2DE"/>
      </top>
      <bottom/>
      <diagonal/>
    </border>
    <border>
      <left/>
      <right style="thin">
        <color rgb="FFC8D2DE"/>
      </right>
      <top style="thin">
        <color rgb="FFC8D2DE"/>
      </top>
      <bottom/>
      <diagonal/>
    </border>
  </borders>
  <cellStyleXfs count="1">
    <xf numFmtId="0" fontId="0" fillId="0" borderId="5"/>
  </cellStyleXfs>
  <cellXfs count="45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left"/>
    </xf>
    <xf numFmtId="0" fontId="5" fillId="2" borderId="1" pivotButton="0" quotePrefix="0" xfId="0"/>
    <xf numFmtId="0" fontId="6" fillId="3" borderId="2" applyAlignment="1" pivotButton="0" quotePrefix="0" xfId="0">
      <alignment vertical="center" wrapText="1"/>
    </xf>
    <xf numFmtId="0" fontId="7" fillId="0" borderId="2" applyAlignment="1" pivotButton="0" quotePrefix="0" xfId="0">
      <alignment vertical="top" wrapText="1"/>
    </xf>
    <xf numFmtId="0" fontId="2" fillId="0" borderId="0" pivotButton="0" quotePrefix="0" xfId="0"/>
    <xf numFmtId="0" fontId="9" fillId="0" borderId="0" applyAlignment="1" pivotButton="0" quotePrefix="0" xfId="0">
      <alignment vertical="center"/>
    </xf>
    <xf numFmtId="0" fontId="7" fillId="4" borderId="2" applyAlignment="1" pivotButton="0" quotePrefix="0" xfId="0">
      <alignment vertical="top" wrapText="1"/>
    </xf>
    <xf numFmtId="49" fontId="7" fillId="0" borderId="2" applyAlignment="1" pivotButton="0" quotePrefix="0" xfId="0">
      <alignment vertical="top" wrapText="1"/>
    </xf>
    <xf numFmtId="9" fontId="7" fillId="0" borderId="2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 wrapText="1"/>
    </xf>
    <xf numFmtId="0" fontId="13" fillId="5" borderId="0" pivotButton="0" quotePrefix="0" xfId="0"/>
    <xf numFmtId="0" fontId="11" fillId="0" borderId="0" applyAlignment="1" pivotButton="0" quotePrefix="0" xfId="0">
      <alignment horizontal="left"/>
    </xf>
    <xf numFmtId="0" fontId="13" fillId="5" borderId="1" pivotButton="0" quotePrefix="0" xfId="0"/>
    <xf numFmtId="0" fontId="14" fillId="6" borderId="6" applyAlignment="1" pivotButton="0" quotePrefix="0" xfId="0">
      <alignment vertical="center" wrapText="1"/>
    </xf>
    <xf numFmtId="0" fontId="17" fillId="0" borderId="6" applyAlignment="1" pivotButton="0" quotePrefix="0" xfId="0">
      <alignment vertical="top" wrapText="1"/>
    </xf>
    <xf numFmtId="0" fontId="19" fillId="0" borderId="5" applyAlignment="1" pivotButton="0" quotePrefix="0" xfId="0">
      <alignment vertical="center"/>
    </xf>
    <xf numFmtId="0" fontId="16" fillId="0" borderId="5" pivotButton="0" quotePrefix="0" xfId="0"/>
    <xf numFmtId="14" fontId="17" fillId="7" borderId="6" applyAlignment="1" pivotButton="0" quotePrefix="0" xfId="0">
      <alignment vertical="top" wrapText="1"/>
    </xf>
    <xf numFmtId="0" fontId="17" fillId="7" borderId="6" applyAlignment="1" pivotButton="0" quotePrefix="0" xfId="0">
      <alignment vertical="top" wrapText="1"/>
    </xf>
    <xf numFmtId="0" fontId="15" fillId="0" borderId="5" applyAlignment="1" pivotButton="0" quotePrefix="0" xfId="0">
      <alignment horizontal="left" vertical="top" wrapText="1"/>
    </xf>
    <xf numFmtId="0" fontId="0" fillId="0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8" fillId="0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6" fillId="3" borderId="2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7" fillId="0" borderId="2" applyAlignment="1" pivotButton="0" quotePrefix="0" xfId="0">
      <alignment vertical="top" wrapText="1"/>
    </xf>
    <xf numFmtId="0" fontId="0" fillId="0" borderId="5" pivotButton="0" quotePrefix="0" xfId="0"/>
    <xf numFmtId="0" fontId="12" fillId="0" borderId="5" applyAlignment="1" pivotButton="0" quotePrefix="0" xfId="0">
      <alignment horizontal="left" vertical="top" wrapText="1"/>
    </xf>
    <xf numFmtId="0" fontId="18" fillId="0" borderId="5" applyAlignment="1" pivotButton="0" quotePrefix="0" xfId="0">
      <alignment vertical="top" wrapText="1"/>
    </xf>
    <xf numFmtId="0" fontId="17" fillId="0" borderId="5" applyAlignment="1" pivotButton="0" quotePrefix="0" xfId="0">
      <alignment vertical="top" wrapText="1"/>
    </xf>
    <xf numFmtId="0" fontId="4" fillId="0" borderId="5" applyAlignment="1" pivotButton="0" quotePrefix="0" xfId="0">
      <alignment horizontal="left" vertical="top" wrapText="1"/>
    </xf>
    <xf numFmtId="0" fontId="6" fillId="3" borderId="6" applyAlignment="1" pivotButton="0" quotePrefix="0" xfId="0">
      <alignment vertical="center" wrapText="1"/>
    </xf>
    <xf numFmtId="0" fontId="7" fillId="4" borderId="6" applyAlignment="1" pivotButton="0" quotePrefix="0" xfId="0">
      <alignment vertical="top" wrapText="1"/>
    </xf>
    <xf numFmtId="0" fontId="8" fillId="0" borderId="5" applyAlignment="1" pivotButton="0" quotePrefix="0" xfId="0">
      <alignment horizontal="left" vertical="top" wrapText="1"/>
    </xf>
    <xf numFmtId="0" fontId="7" fillId="0" borderId="5" applyAlignment="1" pivotButton="0" quotePrefix="0" xfId="0">
      <alignment vertical="top" wrapText="1"/>
    </xf>
    <xf numFmtId="0" fontId="7" fillId="0" borderId="6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showGridLines="0" zoomScale="112" workbookViewId="0">
      <pane ySplit="2" topLeftCell="A99" activePane="bottomLeft" state="frozen"/>
      <selection pane="bottomLeft" activeCell="A101" sqref="A101"/>
    </sheetView>
  </sheetViews>
  <sheetFormatPr baseColWidth="10" defaultColWidth="14.5" defaultRowHeight="22" customHeight="1"/>
  <cols>
    <col width="62.6640625" customWidth="1" style="24" min="1" max="1"/>
    <col width="83.1640625" customWidth="1" style="24" min="2" max="2"/>
    <col width="44.83203125" customWidth="1" style="24" min="3" max="3"/>
    <col width="14" customWidth="1" style="24" min="4" max="4"/>
    <col width="12" customWidth="1" style="24" min="5" max="5"/>
    <col width="13" customWidth="1" style="24" min="6" max="6"/>
    <col width="9" customWidth="1" style="24" min="7" max="7"/>
  </cols>
  <sheetData>
    <row r="1" ht="30" customHeight="1" s="24">
      <c r="A1" s="13" t="inlineStr">
        <is>
          <t>藝術｜口試自我檢核表：作品答辯　v1</t>
        </is>
      </c>
    </row>
    <row r="2" ht="28" customHeight="1" s="24">
      <c r="A2" s="36" t="inlineStr">
        <is>
          <t>先讀這頁，大約7分鐘。這份工具有五個分頁，主體是題庫與打勾。</t>
        </is>
      </c>
    </row>
    <row r="3" ht="40" customHeight="1" s="24">
      <c r="A3" s="1" t="n"/>
    </row>
    <row r="4" ht="24" customHeight="1" s="24">
      <c r="A4" s="14" t="inlineStr">
        <is>
          <t>這份表是什麼、不是什麼</t>
        </is>
      </c>
    </row>
    <row r="5" ht="26" customHeight="1" s="24">
      <c r="A5" s="15" t="inlineStr">
        <is>
          <t>它是</t>
        </is>
      </c>
      <c r="B5" s="15" t="inlineStr">
        <is>
          <t>它不是</t>
        </is>
      </c>
    </row>
    <row r="6" ht="62" customHeight="1" s="24">
      <c r="A6" s="16" t="inlineStr">
        <is>
          <t>一面鏡子。照出你對自己作品的理解到哪了、哪些題目還答不出來。</t>
        </is>
      </c>
      <c r="B6" s="16" t="inlineStr">
        <is>
          <t>作品說明的朗讀稿。教授手上已經有你的備審，現場複述一次等於浪費唯一一次互動的機會。</t>
        </is>
      </c>
    </row>
    <row r="7" ht="32" customHeight="1" s="24">
      <c r="A7" s="16" t="inlineStr">
        <is>
          <t>一次二十分鐘就做得完的自我盤點。</t>
        </is>
      </c>
      <c r="B7" s="16" t="inlineStr">
        <is>
          <t>口才訓練。這裡不教你怎麼講，只告訴你哪一題還沒想通。</t>
        </is>
      </c>
    </row>
    <row r="8" ht="32" customHeight="1" s="24">
      <c r="A8" s="16" t="inlineStr">
        <is>
          <t>可以重複用的。每模擬一次口試就回來打一次。</t>
        </is>
      </c>
      <c r="B8" s="16" t="inlineStr">
        <is>
          <t>一次性的清單。全部打完勾不是終點，是可以上場的起點。</t>
        </is>
      </c>
    </row>
    <row r="9" ht="40" customHeight="1" s="24">
      <c r="A9" s="1" t="n"/>
    </row>
    <row r="10" ht="24" customHeight="1" s="24">
      <c r="A10" s="14" t="inlineStr">
        <is>
          <t>口試不是面試的加強版</t>
        </is>
      </c>
    </row>
    <row r="11" ht="32" customHeight="1" s="24">
      <c r="A11" s="37" t="inlineStr">
        <is>
          <t>它是一場針對作品、創作選擇與未來計畫的學術對話。</t>
        </is>
      </c>
    </row>
    <row r="12" ht="55" customHeight="1" s="24">
      <c r="A12" s="38" t="inlineStr">
        <is>
          <t>大學面試多半在確認動機、態度與潛力，可以靠準備好的自我介紹撐過去。口試不行，因為問題會從你的作品長出來，每個人的作品都不一樣，沒有共通的標準答案可以背。準備其實從送件那一刻就開始了：被追問的對象就是備審裡的那幾件作品與創作研究計畫，選件時留下的每一個弱點，到這裡都會變成一個問題。</t>
        </is>
      </c>
    </row>
    <row r="13" ht="40" customHeight="1" s="24">
      <c r="A13" s="1" t="n"/>
    </row>
    <row r="14" ht="24" customHeight="1" s="24">
      <c r="A14" s="14" t="inlineStr">
        <is>
          <t>教授實際在確認什麼</t>
        </is>
      </c>
    </row>
    <row r="15" ht="26" customHeight="1" s="24">
      <c r="A15" s="15" t="inlineStr">
        <is>
          <t>六件事</t>
        </is>
      </c>
      <c r="B15" s="15" t="inlineStr">
        <is>
          <t>意思</t>
        </is>
      </c>
    </row>
    <row r="16" ht="44" customHeight="1" s="24">
      <c r="A16" s="16" t="inlineStr">
        <is>
          <t>你是否真的理解自己的作品</t>
        </is>
      </c>
      <c r="B16" s="16" t="inlineStr">
        <is>
          <t>不是理解「我想表達什麼」，而是理解這件作品實際做了什麼、觀者會看到什麼。</t>
        </is>
      </c>
    </row>
    <row r="17" ht="32" customHeight="1" s="24">
      <c r="A17" s="16" t="inlineStr">
        <is>
          <t>是否能說明媒材與形式的選擇</t>
        </is>
      </c>
      <c r="B17" s="16" t="inlineStr">
        <is>
          <t>為什麼是這個材料、這個尺度、這種展示方式。</t>
        </is>
      </c>
    </row>
    <row r="18" ht="32" customHeight="1" s="24">
      <c r="A18" s="16" t="inlineStr">
        <is>
          <t>是否知道作品的藝術史或當代脈絡</t>
        </is>
      </c>
      <c r="B18" s="16" t="inlineStr">
        <is>
          <t>你的創作和誰在處理相近的問題，你和他們的差別在哪。</t>
        </is>
      </c>
    </row>
    <row r="19" ht="32" customHeight="1" s="24">
      <c r="A19" s="16" t="inlineStr">
        <is>
          <t>是否能接受質疑</t>
        </is>
      </c>
      <c r="B19" s="16" t="inlineStr">
        <is>
          <t>被指出問題時，是防衛、崩潰，還是能繼續討論。</t>
        </is>
      </c>
    </row>
    <row r="20" ht="32" customHeight="1" s="24">
      <c r="A20" s="16" t="inlineStr">
        <is>
          <t>是否能修正自己的主張</t>
        </is>
      </c>
      <c r="B20" s="16" t="inlineStr">
        <is>
          <t>在對話中調整想法，是研究能力的一部分，不是立場不堅定。</t>
        </is>
      </c>
    </row>
    <row r="21" ht="32" customHeight="1" s="24">
      <c r="A21" s="16" t="inlineStr">
        <is>
          <t>是否具備持續創作的能力</t>
        </is>
      </c>
      <c r="B21" s="16" t="inlineStr">
        <is>
          <t>最終極的一題。教授要判斷你這兩年能不能撐住。</t>
        </is>
      </c>
    </row>
    <row r="22" ht="42" customHeight="1" s="24">
      <c r="A22" s="21" t="inlineStr">
        <is>
          <t>六項裡有四項和對話能力有關，只有兩項和作品本身有關。口試考的不只是你做了什麼，而是你能不能在被追問的情況下把它講清楚。</t>
        </is>
      </c>
    </row>
    <row r="23" ht="40" customHeight="1" s="24">
      <c r="A23" s="1" t="n"/>
    </row>
    <row r="24" ht="24" customHeight="1" s="24">
      <c r="A24" s="14" t="inlineStr">
        <is>
          <t>準備的順序：先寫答案，再練口說</t>
        </is>
      </c>
    </row>
    <row r="25" ht="32" customHeight="1" s="24">
      <c r="A25" s="37" t="inlineStr">
        <is>
          <t>寫不出來的題目，就是你目前最大的風險。</t>
        </is>
      </c>
    </row>
    <row r="26" ht="32" customHeight="1" s="24">
      <c r="A26" s="38" t="inlineStr">
        <is>
          <t>題庫那頁每一題有兩個勾：寫出答案了、練過口說了。兩個是不同的狀態，寫得出來不代表講得出來。「我到哪了」會分開統計這兩件事。</t>
        </is>
      </c>
    </row>
    <row r="27" ht="40" customHeight="1" s="24">
      <c r="A27" s="1" t="n"/>
    </row>
    <row r="28" ht="24" customHeight="1" s="24">
      <c r="A28" s="14" t="inlineStr">
        <is>
          <t>五步答題框架，第四步是關鍵</t>
        </is>
      </c>
    </row>
    <row r="29" ht="26" customHeight="1" s="24">
      <c r="A29" s="15" t="inlineStr">
        <is>
          <t>步驟</t>
        </is>
      </c>
      <c r="B29" s="15" t="inlineStr">
        <is>
          <t>做什麼</t>
        </is>
      </c>
    </row>
    <row r="30" ht="32" customHeight="1" s="24">
      <c r="A30" s="16" t="inlineStr">
        <is>
          <t>說明作品</t>
        </is>
      </c>
      <c r="B30" s="16" t="inlineStr">
        <is>
          <t>這件作品用的是什麼、實際做了什麼。</t>
        </is>
      </c>
    </row>
    <row r="31" ht="32" customHeight="1" s="24">
      <c r="A31" s="16" t="inlineStr">
        <is>
          <t>指出選擇</t>
        </is>
      </c>
      <c r="B31" s="16" t="inlineStr">
        <is>
          <t>為什麼是這個媒材、尺度、展示方式，這是判斷不是隨便。</t>
        </is>
      </c>
    </row>
    <row r="32" ht="32" customHeight="1" s="24">
      <c r="A32" s="16" t="inlineStr">
        <is>
          <t>補充脈絡</t>
        </is>
      </c>
      <c r="B32" s="16" t="inlineStr">
        <is>
          <t>這個處理方式接近誰的做法，你的重點放在哪裡。</t>
        </is>
      </c>
    </row>
    <row r="33" ht="32" customHeight="1" s="24">
      <c r="A33" s="16" t="inlineStr">
        <is>
          <t>承認限制</t>
        </is>
      </c>
      <c r="B33" s="16" t="inlineStr">
        <is>
          <t>目前的限制是什麼。主動講，不要等教授問。</t>
        </is>
      </c>
    </row>
    <row r="34" ht="32" customHeight="1" s="24">
      <c r="A34" s="16" t="inlineStr">
        <is>
          <t>提出下一步</t>
        </is>
      </c>
      <c r="B34" s="16" t="inlineStr">
        <is>
          <t>下一階段會透過什麼來測試。這一步讓每個問題自然接回創作計畫。</t>
        </is>
      </c>
    </row>
    <row r="35" ht="32" customHeight="1" s="24">
      <c r="A35" s="37" t="inlineStr">
        <is>
          <t>主動指出限制不會顯得沒把握，反而顯示你對作品有判斷。教授每年看幾十份作品集，那些問題他看得出來：你不講，他會直接問；你先講，就變成你在主導這段對話。</t>
        </is>
      </c>
    </row>
    <row r="36" ht="40" customHeight="1" s="24">
      <c r="A36" s="1" t="n"/>
    </row>
    <row r="37" ht="24" customHeight="1" s="24">
      <c r="A37" s="14" t="inlineStr">
        <is>
          <t>面對反對意見，兩種反應要避免</t>
        </is>
      </c>
    </row>
    <row r="38" ht="26" customHeight="1" s="24">
      <c r="A38" s="15" t="inlineStr">
        <is>
          <t>反應</t>
        </is>
      </c>
      <c r="B38" s="15" t="inlineStr">
        <is>
          <t>為什麼不行</t>
        </is>
      </c>
    </row>
    <row r="39" ht="48" customHeight="1" s="24">
      <c r="A39" s="16" t="inlineStr">
        <is>
          <t>全盤退讓</t>
        </is>
      </c>
      <c r="B39" s="16" t="inlineStr">
        <is>
          <t>「老師說得對，我完全沒想到。」聽起來謙虛，但等於承認你對自己的作品沒有判斷。</t>
        </is>
      </c>
    </row>
    <row r="40" ht="32" customHeight="1" s="24">
      <c r="A40" s="16" t="inlineStr">
        <is>
          <t>逐條反駁</t>
        </is>
      </c>
      <c r="B40" s="16" t="inlineStr">
        <is>
          <t>急著證明對方誤解了你的作品，顯示你不能接受批評。</t>
        </is>
      </c>
    </row>
    <row r="41" ht="42" customHeight="1" s="24">
      <c r="A41" s="21" t="inlineStr">
        <is>
          <t>研究所兩年會有大量評圖與批評，教授在口試現場就是在測試你能不能撐得住這件事。教授提出的反對意見，可能是真的不認同，也可能只是在測試你能不能討論。</t>
        </is>
      </c>
    </row>
    <row r="42" ht="40" customHeight="1" s="24">
      <c r="A42" s="1" t="n"/>
    </row>
    <row r="43" ht="24" customHeight="1" s="24">
      <c r="A43" s="14" t="inlineStr">
        <is>
          <t>什麼時候用，可以用幾次</t>
        </is>
      </c>
    </row>
    <row r="44" ht="32" customHeight="1" s="24">
      <c r="A44" s="38" t="inlineStr">
        <is>
          <t>送件之後到口試前。第一次在送件後一週內打，那時候題庫會有一半是空的，那正是它的用途。之後每模擬一次口試就回來打一次，口試前三天打最後一次。</t>
        </is>
      </c>
    </row>
    <row r="45" ht="40" customHeight="1" s="24">
      <c r="A45" s="1" t="n"/>
    </row>
    <row r="46" ht="24" customHeight="1" s="24">
      <c r="A46" s="14" t="inlineStr">
        <is>
          <t>五個分頁的分工</t>
        </is>
      </c>
    </row>
    <row r="47" ht="26" customHeight="1" s="24">
      <c r="A47" s="15" t="inlineStr">
        <is>
          <t>分頁</t>
        </is>
      </c>
      <c r="B47" s="15" t="inlineStr">
        <is>
          <t>做什麼</t>
        </is>
      </c>
    </row>
    <row r="48" ht="50" customHeight="1" s="24">
      <c r="A48" s="16" t="inlineStr">
        <is>
          <t>先讀這裡</t>
        </is>
      </c>
      <c r="B48" s="16" t="inlineStr">
        <is>
          <t>你正在讀的這頁。教授在確認什麼、答題框架、怎麼打勾、卡關怎麼辦。</t>
        </is>
      </c>
    </row>
    <row r="49" ht="50" customHeight="1" s="24">
      <c r="A49" s="16" t="inlineStr">
        <is>
          <t>題庫與素材</t>
        </is>
      </c>
      <c r="B49" s="16" t="inlineStr">
        <is>
          <t>要動手的地方。十六題各寫關鍵字並打兩個勾，再填答題框架、一分鐘主張、回應句型與反對意見。</t>
        </is>
      </c>
    </row>
    <row r="50" ht="50" customHeight="1" s="24">
      <c r="A50" s="16" t="inlineStr">
        <is>
          <t>檢核表</t>
        </is>
      </c>
      <c r="B50" s="16" t="inlineStr">
        <is>
          <t>3 區共 21 項，逐項打勾。每一項旁邊都寫好了沒打勾的話下一步做什麼。</t>
        </is>
      </c>
    </row>
    <row r="51" ht="32" customHeight="1" s="24">
      <c r="A51" s="16" t="inlineStr">
        <is>
          <t>我到哪了</t>
        </is>
      </c>
      <c r="B51" s="16" t="inlineStr">
        <is>
          <t>打完之後看這頁。5 區完成度與還沒打勾的數量。</t>
        </is>
      </c>
    </row>
    <row r="52" ht="48" customHeight="1" s="24">
      <c r="A52" s="16" t="inlineStr">
        <is>
          <t>模擬追問紀錄</t>
        </is>
      </c>
      <c r="B52" s="16" t="inlineStr">
        <is>
          <t>每找人模擬一次就記一列。被問倒的地方就是接下來要補的，不用寫得漂亮。</t>
        </is>
      </c>
    </row>
    <row r="53" ht="40" customHeight="1" s="24">
      <c r="A53" s="1" t="n"/>
    </row>
    <row r="54" ht="24" customHeight="1" s="24">
      <c r="A54" s="14" t="inlineStr">
        <is>
          <t>四個步驟</t>
        </is>
      </c>
    </row>
    <row r="55" ht="26" customHeight="1" s="24">
      <c r="A55" s="15" t="inlineStr">
        <is>
          <t>步驟</t>
        </is>
      </c>
      <c r="B55" s="15" t="inlineStr">
        <is>
          <t>做什麼</t>
        </is>
      </c>
    </row>
    <row r="56" ht="40" customHeight="1" s="24">
      <c r="A56" s="16" t="inlineStr">
        <is>
          <t>第 1 步</t>
        </is>
      </c>
      <c r="B56" s="16" t="inlineStr">
        <is>
          <t>切到「題庫與素材」分頁，十六題先寫答案的關鍵字。寫得出來就勾「寫出答案」。</t>
        </is>
      </c>
    </row>
    <row r="57" ht="40" customHeight="1" s="24">
      <c r="A57" s="16" t="inlineStr">
        <is>
          <t>第 2 步</t>
        </is>
      </c>
      <c r="B57" s="16" t="inlineStr">
        <is>
          <t>填五步框架、一分鐘主張、回應句型、三個反對意見。這些是口說的骨架。</t>
        </is>
      </c>
    </row>
    <row r="58" ht="40" customHeight="1" s="24">
      <c r="A58" s="16" t="inlineStr">
        <is>
          <t>第 3 步</t>
        </is>
      </c>
      <c r="B58" s="16" t="inlineStr">
        <is>
          <t>對著人講一次，講得出來的題目勾「練過口說」。再切到「檢核表」3 區打勾。</t>
        </is>
      </c>
    </row>
    <row r="59" ht="40" customHeight="1" s="24">
      <c r="A59" s="16" t="inlineStr">
        <is>
          <t>第 4 步</t>
        </is>
      </c>
      <c r="B59" s="16" t="inlineStr">
        <is>
          <t>切到「我到哪了」看哪一區最短，回頭補沒打勾的那幾項。</t>
        </is>
      </c>
    </row>
    <row r="60" ht="40" customHeight="1" s="24">
      <c r="A60" s="1" t="n"/>
    </row>
    <row r="61" ht="24" customHeight="1" s="24">
      <c r="A61" s="14" t="inlineStr">
        <is>
          <t>五個區塊各在檢查什麼</t>
        </is>
      </c>
    </row>
    <row r="62" ht="26" customHeight="1" s="24">
      <c r="A62" s="15" t="inlineStr">
        <is>
          <t>區塊</t>
        </is>
      </c>
      <c r="B62" s="15" t="inlineStr">
        <is>
          <t>幾項</t>
        </is>
      </c>
      <c r="C62" s="15" t="inlineStr">
        <is>
          <t>在檢查什麼</t>
        </is>
      </c>
    </row>
    <row r="63" ht="43" customHeight="1" s="24">
      <c r="A63" s="16" t="inlineStr">
        <is>
          <t>題庫：寫出答案</t>
        </is>
      </c>
      <c r="B63" s="16" t="inlineStr">
        <is>
          <t>16</t>
        </is>
      </c>
      <c r="C63" s="16" t="inlineStr">
        <is>
          <t>四類追問各四題，寫得出答案了沒。</t>
        </is>
      </c>
    </row>
    <row r="64" ht="43" customHeight="1" s="24">
      <c r="A64" s="16" t="inlineStr">
        <is>
          <t>題庫：練過口說</t>
        </is>
      </c>
      <c r="B64" s="16" t="inlineStr">
        <is>
          <t>16</t>
        </is>
      </c>
      <c r="C64" s="16" t="inlineStr">
        <is>
          <t>同樣十六題，對著人講得出來了沒。</t>
        </is>
      </c>
    </row>
    <row r="65" ht="43" customHeight="1" s="24">
      <c r="A65" s="16" t="inlineStr">
        <is>
          <t>作品簡報設計</t>
        </is>
      </c>
      <c r="B65" s="16" t="inlineStr">
        <is>
          <t>7</t>
        </is>
      </c>
      <c r="C65" s="16" t="inlineStr">
        <is>
          <t>五到十分鐘的簡報有沒有另外設計，不是作品集翻一遍。</t>
        </is>
      </c>
    </row>
    <row r="66" ht="43" customHeight="1" s="24">
      <c r="A66" s="16" t="inlineStr">
        <is>
          <t>上場前檢核</t>
        </is>
      </c>
      <c r="B66" s="16" t="inlineStr">
        <is>
          <t>8</t>
        </is>
      </c>
      <c r="C66" s="16" t="inlineStr">
        <is>
          <t>最後那道閘門。這八項沒到就還不能上場。</t>
        </is>
      </c>
    </row>
    <row r="67" ht="43" customHeight="1" s="24">
      <c r="A67" s="16" t="inlineStr">
        <is>
          <t>常見失分點</t>
        </is>
      </c>
      <c r="B67" s="16" t="inlineStr">
        <is>
          <t>6</t>
        </is>
      </c>
      <c r="C67" s="16" t="inlineStr">
        <is>
          <t>有沒有踩到最常見的六個失分回答。</t>
        </is>
      </c>
    </row>
    <row r="68" ht="40" customHeight="1" s="24">
      <c r="A68" s="1" t="n"/>
    </row>
    <row r="69" ht="24" customHeight="1" s="24">
      <c r="A69" s="14" t="inlineStr">
        <is>
          <t>什麼情況才算 ✓</t>
        </is>
      </c>
    </row>
    <row r="70" ht="32" customHeight="1" s="24">
      <c r="A70" s="38" t="inlineStr">
        <is>
          <t>打勾之前先問自己一句：如果現在有人要我當場講，我講得出來嗎。講得出來才算 ✓，覺得「應該會吧」不算。</t>
        </is>
      </c>
    </row>
    <row r="71" ht="32" customHeight="1" s="24">
      <c r="A71" s="37" t="inlineStr">
        <is>
          <t>這張表只有你自己會看。寬鬆給分唯一的效果，是讓你在口試現場才發現缺口。留白不是失敗，留白就是你接下來的工作清單。</t>
        </is>
      </c>
    </row>
    <row r="72" ht="42" customHeight="1" s="24">
      <c r="A72" s="21" t="inlineStr">
        <is>
          <t>「常見失分點」那一區的語意是相反的：✓ 代表「我確認自己不會這樣答」。表頭上有標。</t>
        </is>
      </c>
    </row>
    <row r="73" ht="40" customHeight="1" s="24">
      <c r="A73" s="1" t="n"/>
    </row>
    <row r="74" ht="24" customHeight="1" s="24">
      <c r="A74" s="14" t="inlineStr">
        <is>
          <t>結果怎麼看</t>
        </is>
      </c>
    </row>
    <row r="75" ht="26" customHeight="1" s="24">
      <c r="A75" s="15" t="inlineStr">
        <is>
          <t>你看到的</t>
        </is>
      </c>
      <c r="B75" s="15" t="inlineStr">
        <is>
          <t>代表什麼</t>
        </is>
      </c>
      <c r="C75" s="15" t="inlineStr">
        <is>
          <t>接下來</t>
        </is>
      </c>
    </row>
    <row r="76" ht="60" customHeight="1" s="24">
      <c r="A76" s="16" t="inlineStr">
        <is>
          <t>幾乎全空</t>
        </is>
      </c>
      <c r="B76" s="16" t="inlineStr">
        <is>
          <t>這不是壞消息，這是你現在的起點。</t>
        </is>
      </c>
      <c r="C76" s="16" t="inlineStr">
        <is>
          <t>從「上場前檢核」那八項往回推，一項對應一件要做的事。</t>
        </is>
      </c>
    </row>
    <row r="77" ht="60" customHeight="1" s="24">
      <c r="A77" s="16" t="inlineStr">
        <is>
          <t>寫出答案滿了，練過口說很空</t>
        </is>
      </c>
      <c r="B77" s="16" t="inlineStr">
        <is>
          <t>你想通了，但還沒講過。</t>
        </is>
      </c>
      <c r="C77" s="16" t="inlineStr">
        <is>
          <t>找一個不熟悉你創作的人，把十六題講一遍。同溫層聽不出你哪裡跳過了解釋。</t>
        </is>
      </c>
    </row>
    <row r="78" ht="60" customHeight="1" s="24">
      <c r="A78" s="16" t="inlineStr">
        <is>
          <t>研究計畫那四題空著</t>
        </is>
      </c>
      <c r="B78" s="16" t="inlineStr">
        <is>
          <t>口試最後一段會撐不住。</t>
        </is>
      </c>
      <c r="C78" s="16" t="inlineStr">
        <is>
          <t>先回去查系所的設備、指導方式、展覽資源。沒查過的東西，現場講不出來。</t>
        </is>
      </c>
    </row>
    <row r="79" ht="60" customHeight="1" s="24">
      <c r="A79" s="16" t="inlineStr">
        <is>
          <t>上場前檢核沒滿</t>
        </is>
      </c>
      <c r="B79" s="16" t="inlineStr">
        <is>
          <t>還不能上場。</t>
        </is>
      </c>
      <c r="C79" s="16" t="inlineStr">
        <is>
          <t>先補那八項，其他區暫時放著。</t>
        </is>
      </c>
    </row>
    <row r="80" ht="60" customHeight="1" s="24">
      <c r="A80" s="16" t="inlineStr">
        <is>
          <t>53 項全滿</t>
        </is>
      </c>
      <c r="B80" s="16" t="inlineStr">
        <is>
          <t>準備到位了。</t>
        </is>
      </c>
      <c r="C80" s="16" t="inlineStr">
        <is>
          <t>口試前三天再對著人講一次一分鐘與三分鐘版本，計時。</t>
        </is>
      </c>
    </row>
    <row r="81" ht="40" customHeight="1" s="24">
      <c r="A81" s="1" t="n"/>
    </row>
    <row r="82" ht="24" customHeight="1" s="24">
      <c r="A82" s="14" t="inlineStr">
        <is>
          <t>沒打勾的，去哪裡補</t>
        </is>
      </c>
    </row>
    <row r="83" ht="26" customHeight="1" s="24">
      <c r="A83" s="15" t="inlineStr">
        <is>
          <t>缺的是</t>
        </is>
      </c>
      <c r="B83" s="15" t="inlineStr">
        <is>
          <t>去哪裡補</t>
        </is>
      </c>
      <c r="C83" s="15" t="inlineStr">
        <is>
          <t>要補成什麼樣子</t>
        </is>
      </c>
    </row>
    <row r="84" ht="70" customHeight="1" s="24">
      <c r="A84" s="16" t="inlineStr">
        <is>
          <t>某一題寫不出答案</t>
        </is>
      </c>
      <c r="B84" s="16" t="inlineStr">
        <is>
          <t>回作品本身</t>
        </is>
      </c>
      <c r="C84" s="16" t="inlineStr">
        <is>
          <t>那題就是你目前最大的風險。先想通，再寫關鍵字，不要硬背一個答案。</t>
        </is>
      </c>
    </row>
    <row r="85" ht="70" customHeight="1" s="24">
      <c r="A85" s="16" t="inlineStr">
        <is>
          <t>說不出媒材為什麼服務概念</t>
        </is>
      </c>
      <c r="B85" s="16" t="inlineStr">
        <is>
          <t>五步框架第二步</t>
        </is>
      </c>
      <c r="C85" s="16" t="inlineStr">
        <is>
          <t>「因為它能呈現什麼，這是我試過的其他材料做不到的」。要有比較對象。</t>
        </is>
      </c>
    </row>
    <row r="86" ht="70" customHeight="1" s="24">
      <c r="A86" s="16" t="inlineStr">
        <is>
          <t>說不出和某位藝術家的差別</t>
        </is>
      </c>
      <c r="B86" s="16" t="inlineStr">
        <is>
          <t>五步框架第三步</t>
        </is>
      </c>
      <c r="C86" s="16" t="inlineStr">
        <is>
          <t>「這個處理方式接近誰的做法，但我把重點放在哪裡」。差別要具體，不是風格不同。</t>
        </is>
      </c>
    </row>
    <row r="87" ht="48" customHeight="1" s="24">
      <c r="A87" s="16" t="inlineStr">
        <is>
          <t>答案沒有限制與下一步</t>
        </is>
      </c>
      <c r="B87" s="16" t="inlineStr">
        <is>
          <t>五步框架第四、五步</t>
        </is>
      </c>
      <c r="C87" s="16" t="inlineStr">
        <is>
          <t>主動講限制，接一句下一階段要測試什麼。</t>
        </is>
      </c>
    </row>
    <row r="88" ht="32" customHeight="1" s="24">
      <c r="A88" s="16" t="inlineStr">
        <is>
          <t>一分鐘講不完母題</t>
        </is>
      </c>
      <c r="B88" s="16" t="inlineStr">
        <is>
          <t>一分鐘創作主張</t>
        </is>
      </c>
      <c r="C88" s="16" t="inlineStr">
        <is>
          <t>四段各給秒數，計時練到不用看稿。</t>
        </is>
      </c>
    </row>
    <row r="89" ht="70" customHeight="1" s="24">
      <c r="A89" s="16" t="inlineStr">
        <is>
          <t>被質疑就防衛</t>
        </is>
      </c>
      <c r="B89" s="16" t="inlineStr">
        <is>
          <t>面對不同意見的五步</t>
        </is>
      </c>
      <c r="C89" s="16" t="inlineStr">
        <is>
          <t>先把模糊的批評問成具體問題，再說明選擇、承認合理的部分、指出限制、提修正方向。</t>
        </is>
      </c>
    </row>
    <row r="90" ht="70" customHeight="1" s="24">
      <c r="A90" s="16" t="inlineStr">
        <is>
          <t>為什麼需要這個系所答不好</t>
        </is>
      </c>
      <c r="B90" s="16" t="inlineStr">
        <is>
          <t>選校那一層</t>
        </is>
      </c>
      <c r="C90" s="16" t="inlineStr">
        <is>
          <t>需要哪些設備、哪種指導方式、哪些展覽或跨域資源。這一題答不好通常不是口才問題。</t>
        </is>
      </c>
    </row>
    <row r="91" ht="70" customHeight="1" s="24">
      <c r="A91" s="16" t="inlineStr">
        <is>
          <t>簡報就是作品集翻一遍</t>
        </is>
      </c>
      <c r="B91" s="16" t="inlineStr">
        <is>
          <t>作品簡報</t>
        </is>
      </c>
      <c r="C91" s="16" t="inlineStr">
        <is>
          <t>另外設計：開場三十秒講母題、選三到五件、每件一個重點、留下可以被問的空間。</t>
        </is>
      </c>
    </row>
    <row r="92" ht="42" customHeight="1" s="24">
      <c r="A92" s="21" t="inlineStr">
        <is>
          <t>要寫成完整答案的部分寫在你自己的筆記裡，這裡只負責告訴你缺什麼。</t>
        </is>
      </c>
    </row>
    <row r="93" ht="40" customHeight="1" s="24">
      <c r="A93" s="1" t="n"/>
    </row>
    <row r="94" ht="24" customHeight="1" s="24">
      <c r="A94" s="14" t="inlineStr">
        <is>
          <t>卡關時</t>
        </is>
      </c>
    </row>
    <row r="95" ht="26" customHeight="1" s="24">
      <c r="A95" s="15" t="inlineStr">
        <is>
          <t>狀況</t>
        </is>
      </c>
      <c r="B95" s="15" t="inlineStr">
        <is>
          <t>怎麼辦</t>
        </is>
      </c>
    </row>
    <row r="96" ht="99" customHeight="1" s="24">
      <c r="A96" s="16" t="inlineStr">
        <is>
          <t>教授當場說不喜歡我的作品</t>
        </is>
      </c>
      <c r="B96" s="16" t="inlineStr">
        <is>
          <t>先確認他說的是「不喜歡」還是「看不懂」，兩件事的回應方式完全不同。多數情況其實是後者。先請他把問題說得更具體，再說明你原本的選擇理由，接著誠實指出目前的限制，最後提出可能的調整方向。</t>
        </is>
      </c>
    </row>
    <row r="97" ht="99" customHeight="1" s="24">
      <c r="A97" s="16" t="inlineStr">
        <is>
          <t>口試要帶實體作品嗎</t>
        </is>
      </c>
      <c r="B97" s="16" t="inlineStr">
        <is>
          <t>先看簡章與現場條件。多數校所以簡報為主，但如果你的作品有材質、尺度或工藝細節是圖片傳達不了的，帶一件小尺寸的實物或樣本通常是加分的。帶一到兩件、放得下、拿得出來、能在三十秒內講清楚為什麼帶它。別把口試變成佈展。</t>
        </is>
      </c>
    </row>
    <row r="98" ht="99" customHeight="1" s="24">
      <c r="A98" s="16" t="inlineStr">
        <is>
          <t>送件之後做的新作品可以講嗎</t>
        </is>
      </c>
      <c r="B98" s="16" t="inlineStr">
        <is>
          <t>可以，而且通常是加分的。把它接回既有脈絡：這件新作在處理前一個系列留下的哪個問題、目前做到哪裡、還有什麼沒解決。準備一到兩張圖，不要臨時翻手機。</t>
        </is>
      </c>
    </row>
    <row r="99" ht="99" customHeight="1" s="24">
      <c r="A99" s="16" t="inlineStr">
        <is>
          <t>「如果作品發展不如預期」這題不知道怎麼答</t>
        </is>
      </c>
      <c r="B99" s="16" t="inlineStr">
        <is>
          <t>它沒有陷阱，教授要看的是你有沒有備案意識。承認計畫可能不成立，並說得出替代路徑，比堅稱一定做得到更有說服力。</t>
        </is>
      </c>
    </row>
    <row r="100" ht="99" customHeight="1" s="24">
      <c r="A100" s="16" t="inlineStr">
        <is>
          <t>練習時同學都說很好</t>
        </is>
      </c>
      <c r="B100" s="16" t="inlineStr">
        <is>
          <t>同學與同溫層太懂你的作品，聽不出你哪裡跳過了解釋。至少對著一個不熟悉你創作的人講一次。</t>
        </is>
      </c>
    </row>
    <row r="101" ht="99" customHeight="1" s="24">
      <c r="A101" s="16" t="inlineStr">
        <is>
          <t>現場時間被壓縮</t>
        </is>
      </c>
      <c r="B101" s="16" t="inlineStr">
        <is>
          <t>臨時刪減比事先準備好的版本差很多。一分鐘與三分鐘兩個版本都要練過。</t>
        </is>
      </c>
    </row>
    <row r="102" ht="40" customHeight="1" s="24">
      <c r="A102" s="1" t="n"/>
    </row>
    <row r="103" ht="14" customHeight="1" s="24">
      <c r="A103" s="6" t="n"/>
      <c r="B103" s="6" t="n"/>
      <c r="C103" s="6" t="n"/>
      <c r="D103" s="6" t="n"/>
      <c r="E103" s="6" t="n"/>
      <c r="F103" s="6" t="n"/>
      <c r="G103" s="6" t="n"/>
    </row>
    <row r="104" ht="28" customHeight="1" s="24">
      <c r="A104" s="17" t="inlineStr">
        <is>
          <t># 搭配文章：藝術研究所口試：怎麼答辯自己的作品　https://tbd-edu.com/pages/resources/arts-graduate-oral.html</t>
        </is>
      </c>
      <c r="B104" s="18" t="n"/>
      <c r="C104" s="18" t="n"/>
      <c r="D104" s="18" t="n"/>
      <c r="E104" s="18" t="n"/>
      <c r="F104" s="18" t="n"/>
      <c r="G104" s="18" t="n"/>
    </row>
    <row r="105" ht="28" customHeight="1" s="24">
      <c r="A105" s="17" t="inlineStr">
        <is>
          <t># TBD Studio ｜ https://tbd-edu.com/</t>
        </is>
      </c>
      <c r="B105" s="18" t="n"/>
      <c r="C105" s="18" t="n"/>
      <c r="D105" s="18" t="n"/>
      <c r="E105" s="18" t="n"/>
      <c r="F105" s="18" t="n"/>
      <c r="G105" s="18" t="n"/>
    </row>
  </sheetData>
  <mergeCells count="13">
    <mergeCell ref="A41:F41"/>
    <mergeCell ref="A2:F2"/>
    <mergeCell ref="A11:F11"/>
    <mergeCell ref="A71:F71"/>
    <mergeCell ref="A44:F44"/>
    <mergeCell ref="A70:F70"/>
    <mergeCell ref="A26:F26"/>
    <mergeCell ref="A22:F22"/>
    <mergeCell ref="A35:F35"/>
    <mergeCell ref="A12:F12"/>
    <mergeCell ref="A92:F92"/>
    <mergeCell ref="A72:F72"/>
    <mergeCell ref="A25:F2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showGridLines="0" zoomScale="75" workbookViewId="0">
      <pane ySplit="2" topLeftCell="A48" activePane="bottomLeft" state="frozen"/>
      <selection pane="bottomLeft" activeCell="B66" sqref="B66"/>
    </sheetView>
  </sheetViews>
  <sheetFormatPr baseColWidth="10" defaultColWidth="14.5" defaultRowHeight="22" customHeight="1"/>
  <cols>
    <col width="25.6640625" customWidth="1" style="24" min="1" max="1"/>
    <col width="44.83203125" customWidth="1" style="24" min="2" max="4"/>
    <col width="19.1640625" customWidth="1" style="24" min="5" max="6"/>
  </cols>
  <sheetData>
    <row r="1" ht="30" customHeight="1" s="24">
      <c r="A1" s="2" t="inlineStr">
        <is>
          <t>藝術｜口試自我檢核表：作品答辯　v1</t>
        </is>
      </c>
    </row>
    <row r="2" ht="28" customHeight="1" s="24">
      <c r="A2" s="39" t="inlineStr">
        <is>
          <t>先寫答案，再練口說。每題兩個勾：寫出答案了、練過口說了。判準見「先讀這裡」分頁。淡黃色的儲存格是要你填或勾的，其餘是給你讀的。</t>
        </is>
      </c>
    </row>
    <row r="3" ht="40" customHeight="1" s="24">
      <c r="A3" s="1" t="n"/>
    </row>
    <row r="4" ht="24" customHeight="1" s="24">
      <c r="A4" s="3" t="inlineStr">
        <is>
          <t>一、四類追問題庫（16 題）</t>
        </is>
      </c>
    </row>
    <row r="5" ht="26" customHeight="1" s="24">
      <c r="A5" s="30" t="inlineStr">
        <is>
          <t>類別</t>
        </is>
      </c>
      <c r="B5" s="30" t="inlineStr">
        <is>
          <t>題目</t>
        </is>
      </c>
      <c r="C5" s="40" t="inlineStr">
        <is>
          <t>我的內容</t>
        </is>
      </c>
      <c r="D5" s="28" t="n"/>
      <c r="E5" s="30" t="inlineStr">
        <is>
          <t>寫出答案</t>
        </is>
      </c>
      <c r="F5" s="30" t="inlineStr">
        <is>
          <t>練過口說</t>
        </is>
      </c>
    </row>
    <row r="6" ht="32" customHeight="1" s="24">
      <c r="A6" s="34" t="inlineStr">
        <is>
          <t>作品與母題</t>
        </is>
      </c>
      <c r="B6" s="34" t="inlineStr">
        <is>
          <t>為什麼持續處理這個主題？</t>
        </is>
      </c>
      <c r="C6" s="41" t="n"/>
      <c r="D6" s="28" t="n"/>
      <c r="E6" s="27" t="n"/>
      <c r="F6" s="27" t="n"/>
    </row>
    <row r="7" ht="32" customHeight="1" s="24">
      <c r="A7" s="34" t="inlineStr">
        <is>
          <t>作品與母題</t>
        </is>
      </c>
      <c r="B7" s="34" t="inlineStr">
        <is>
          <t>這個母題是怎麼形成的？</t>
        </is>
      </c>
      <c r="C7" s="41" t="n"/>
      <c r="D7" s="28" t="n"/>
      <c r="E7" s="27" t="n"/>
      <c r="F7" s="27" t="n"/>
    </row>
    <row r="8" ht="32" customHeight="1" s="24">
      <c r="A8" s="34" t="inlineStr">
        <is>
          <t>作品與母題</t>
        </is>
      </c>
      <c r="B8" s="34" t="inlineStr">
        <is>
          <t>不同系列之間有什麼關係？</t>
        </is>
      </c>
      <c r="C8" s="41" t="n"/>
      <c r="D8" s="28" t="n"/>
      <c r="E8" s="27" t="n"/>
      <c r="F8" s="27" t="n"/>
    </row>
    <row r="9" ht="32" customHeight="1" s="24">
      <c r="A9" s="34" t="inlineStr">
        <is>
          <t>作品與母題</t>
        </is>
      </c>
      <c r="B9" s="34" t="inlineStr">
        <is>
          <t>哪一件作品最能代表你？為什麼？</t>
        </is>
      </c>
      <c r="C9" s="41" t="n"/>
      <c r="D9" s="28" t="n"/>
      <c r="E9" s="27" t="n"/>
      <c r="F9" s="27" t="n"/>
    </row>
    <row r="10" ht="32" customHeight="1" s="24">
      <c r="A10" s="34" t="inlineStr">
        <is>
          <t>媒材與形式</t>
        </is>
      </c>
      <c r="B10" s="34" t="inlineStr">
        <is>
          <t>為什麼使用這個媒材？</t>
        </is>
      </c>
      <c r="C10" s="41" t="n"/>
      <c r="D10" s="28" t="n"/>
      <c r="E10" s="27" t="n"/>
      <c r="F10" s="27" t="n"/>
    </row>
    <row r="11" ht="32" customHeight="1" s="24">
      <c r="A11" s="34" t="inlineStr">
        <is>
          <t>媒材與形式</t>
        </is>
      </c>
      <c r="B11" s="34" t="inlineStr">
        <is>
          <t>為什麼採取這種展示方式？</t>
        </is>
      </c>
      <c r="C11" s="41" t="n"/>
      <c r="D11" s="28" t="n"/>
      <c r="E11" s="27" t="n"/>
      <c r="F11" s="27" t="n"/>
    </row>
    <row r="12" ht="32" customHeight="1" s="24">
      <c r="A12" s="34" t="inlineStr">
        <is>
          <t>媒材與形式</t>
        </is>
      </c>
      <c r="B12" s="34" t="inlineStr">
        <is>
          <t>如果改用其他媒材會發生什麼？</t>
        </is>
      </c>
      <c r="C12" s="41" t="n"/>
      <c r="D12" s="28" t="n"/>
      <c r="E12" s="27" t="n"/>
      <c r="F12" s="27" t="n"/>
    </row>
    <row r="13" ht="32" customHeight="1" s="24">
      <c r="A13" s="34" t="inlineStr">
        <is>
          <t>媒材與形式</t>
        </is>
      </c>
      <c r="B13" s="34" t="inlineStr">
        <is>
          <t>技術選擇如何服務概念？</t>
        </is>
      </c>
      <c r="C13" s="41" t="n"/>
      <c r="D13" s="28" t="n"/>
      <c r="E13" s="27" t="n"/>
      <c r="F13" s="27" t="n"/>
    </row>
    <row r="14" ht="32" customHeight="1" s="24">
      <c r="A14" s="34" t="inlineStr">
        <is>
          <t>藝術脈絡</t>
        </is>
      </c>
      <c r="B14" s="34" t="inlineStr">
        <is>
          <t>你受哪些藝術家影響？</t>
        </is>
      </c>
      <c r="C14" s="41" t="n"/>
      <c r="D14" s="28" t="n"/>
      <c r="E14" s="27" t="n"/>
      <c r="F14" s="27" t="n"/>
    </row>
    <row r="15" ht="32" customHeight="1" s="24">
      <c r="A15" s="34" t="inlineStr">
        <is>
          <t>藝術脈絡</t>
        </is>
      </c>
      <c r="B15" s="34" t="inlineStr">
        <is>
          <t>作品和哪些藝術史脈絡有關？</t>
        </is>
      </c>
      <c r="C15" s="41" t="n"/>
      <c r="D15" s="28" t="n"/>
      <c r="E15" s="27" t="n"/>
      <c r="F15" s="27" t="n"/>
    </row>
    <row r="16" ht="32" customHeight="1" s="24">
      <c r="A16" s="34" t="inlineStr">
        <is>
          <t>藝術脈絡</t>
        </is>
      </c>
      <c r="B16" s="34" t="inlineStr">
        <is>
          <t>你怎麼區別借鑑與模仿？</t>
        </is>
      </c>
      <c r="C16" s="41" t="n"/>
      <c r="D16" s="28" t="n"/>
      <c r="E16" s="27" t="n"/>
      <c r="F16" s="27" t="n"/>
    </row>
    <row r="17" ht="32" customHeight="1" s="24">
      <c r="A17" s="34" t="inlineStr">
        <is>
          <t>藝術脈絡</t>
        </is>
      </c>
      <c r="B17" s="34" t="inlineStr">
        <is>
          <t>你的創作與當代議題有什麼關係？</t>
        </is>
      </c>
      <c r="C17" s="41" t="n"/>
      <c r="D17" s="28" t="n"/>
      <c r="E17" s="27" t="n"/>
      <c r="F17" s="27" t="n"/>
    </row>
    <row r="18" ht="32" customHeight="1" s="24">
      <c r="A18" s="34" t="inlineStr">
        <is>
          <t>研究計畫</t>
        </is>
      </c>
      <c r="B18" s="34" t="inlineStr">
        <is>
          <t>進研究所後具體想做什麼？</t>
        </is>
      </c>
      <c r="C18" s="41" t="n"/>
      <c r="D18" s="28" t="n"/>
      <c r="E18" s="27" t="n"/>
      <c r="F18" s="27" t="n"/>
    </row>
    <row r="19" ht="32" customHeight="1" s="24">
      <c r="A19" s="34" t="inlineStr">
        <is>
          <t>研究計畫</t>
        </is>
      </c>
      <c r="B19" s="34" t="inlineStr">
        <is>
          <t>為什麼需要這個系所？</t>
        </is>
      </c>
      <c r="C19" s="41" t="n"/>
      <c r="D19" s="28" t="n"/>
      <c r="E19" s="27" t="n"/>
      <c r="F19" s="27" t="n"/>
    </row>
    <row r="20" ht="32" customHeight="1" s="24">
      <c r="A20" s="34" t="inlineStr">
        <is>
          <t>研究計畫</t>
        </is>
      </c>
      <c r="B20" s="34" t="inlineStr">
        <is>
          <t>計畫如何延續過去的作品？</t>
        </is>
      </c>
      <c r="C20" s="41" t="n"/>
      <c r="D20" s="28" t="n"/>
      <c r="E20" s="27" t="n"/>
      <c r="F20" s="27" t="n"/>
    </row>
    <row r="21" ht="32" customHeight="1" s="24">
      <c r="A21" s="34" t="inlineStr">
        <is>
          <t>研究計畫</t>
        </is>
      </c>
      <c r="B21" s="34" t="inlineStr">
        <is>
          <t>如果作品發展不如預期怎麼辦？</t>
        </is>
      </c>
      <c r="C21" s="41" t="n"/>
      <c r="D21" s="28" t="n"/>
      <c r="E21" s="27" t="n"/>
      <c r="F21" s="27" t="n"/>
    </row>
    <row r="22" ht="40" customHeight="1" s="24">
      <c r="A22" s="1" t="n"/>
    </row>
    <row r="23" ht="42" customHeight="1" s="24">
      <c r="A23" s="42" t="inlineStr">
        <is>
          <t>寫不出來的題目，就是你目前最大的風險。最後一題最常被跳過、現場卻常被問到：承認計畫可能不成立，並說得出替代路徑，比堅稱一定做得到更有說服力。</t>
        </is>
      </c>
    </row>
    <row r="24" ht="42" customHeight="1" s="24">
      <c r="A24" s="42" t="inlineStr">
        <is>
          <t>「為什麼需要這個系所」要答得比動機更具體：需要哪些設備、哪種指導方式、哪些展覽或跨域資源。</t>
        </is>
      </c>
    </row>
    <row r="25" ht="40" customHeight="1" s="24">
      <c r="A25" s="1" t="n"/>
    </row>
    <row r="26" ht="24" customHeight="1" s="24">
      <c r="A26" s="3" t="inlineStr">
        <is>
          <t>二、五步答題框架（三件代表作各填一次）</t>
        </is>
      </c>
    </row>
    <row r="27" ht="56" customHeight="1" s="24">
      <c r="A27" s="43" t="inlineStr">
        <is>
          <t>句型：這件作品用的是＿＿，因為它能呈現＿＿，這是我試過的其他材料做不到的。這個處理方式接近＿＿的做法，但我把重點放在＿＿。目前的限制是＿＿，所以下一階段我會透過＿＿來測試。</t>
        </is>
      </c>
    </row>
    <row r="28" ht="40" customHeight="1" s="24">
      <c r="A28" s="1" t="n"/>
    </row>
    <row r="29" ht="26" customHeight="1" s="24">
      <c r="A29" s="30" t="inlineStr">
        <is>
          <t>步驟</t>
        </is>
      </c>
      <c r="B29" s="30" t="inlineStr">
        <is>
          <t>我的代表作 1</t>
        </is>
      </c>
      <c r="C29" s="30" t="inlineStr">
        <is>
          <t>我的代表作 2</t>
        </is>
      </c>
      <c r="D29" s="40" t="inlineStr">
        <is>
          <t>我的代表作 3</t>
        </is>
      </c>
      <c r="E29" s="29" t="n"/>
      <c r="F29" s="28" t="n"/>
    </row>
    <row r="30" ht="32" customHeight="1" s="24">
      <c r="A30" s="34" t="inlineStr">
        <is>
          <t>1 說明作品</t>
        </is>
      </c>
      <c r="B30" s="27" t="n"/>
      <c r="C30" s="27" t="n"/>
      <c r="D30" s="41" t="n"/>
      <c r="E30" s="29" t="n"/>
      <c r="F30" s="28" t="n"/>
    </row>
    <row r="31" ht="32" customHeight="1" s="24">
      <c r="A31" s="34" t="inlineStr">
        <is>
          <t>2 指出選擇</t>
        </is>
      </c>
      <c r="B31" s="27" t="n"/>
      <c r="C31" s="27" t="n"/>
      <c r="D31" s="41" t="n"/>
      <c r="E31" s="29" t="n"/>
      <c r="F31" s="28" t="n"/>
    </row>
    <row r="32" ht="32" customHeight="1" s="24">
      <c r="A32" s="34" t="inlineStr">
        <is>
          <t>3 補充脈絡</t>
        </is>
      </c>
      <c r="B32" s="27" t="n"/>
      <c r="C32" s="27" t="n"/>
      <c r="D32" s="41" t="n"/>
      <c r="E32" s="29" t="n"/>
      <c r="F32" s="28" t="n"/>
    </row>
    <row r="33" ht="32" customHeight="1" s="24">
      <c r="A33" s="34" t="inlineStr">
        <is>
          <t>4 承認限制</t>
        </is>
      </c>
      <c r="B33" s="27" t="n"/>
      <c r="C33" s="27" t="n"/>
      <c r="D33" s="41" t="n"/>
      <c r="E33" s="29" t="n"/>
      <c r="F33" s="28" t="n"/>
    </row>
    <row r="34" ht="32" customHeight="1" s="24">
      <c r="A34" s="34" t="inlineStr">
        <is>
          <t>5 提出下一步</t>
        </is>
      </c>
      <c r="B34" s="27" t="n"/>
      <c r="C34" s="27" t="n"/>
      <c r="D34" s="41" t="n"/>
      <c r="E34" s="29" t="n"/>
      <c r="F34" s="28" t="n"/>
    </row>
    <row r="35" ht="42" customHeight="1" s="24">
      <c r="A35" s="42" t="inlineStr">
        <is>
          <t>第四步是關鍵。主動指出限制不會顯得沒把握，反而顯示你對作品有判斷。第五步讓每個問題自然接回創作計畫。</t>
        </is>
      </c>
    </row>
    <row r="36" ht="40" customHeight="1" s="24">
      <c r="A36" s="1" t="n"/>
    </row>
    <row r="37" ht="24" customHeight="1" s="24">
      <c r="A37" s="3" t="inlineStr">
        <is>
          <t>三、一分鐘創作主張</t>
        </is>
      </c>
    </row>
    <row r="38" ht="26" customHeight="1" s="24">
      <c r="A38" s="40" t="inlineStr">
        <is>
          <t>段落</t>
        </is>
      </c>
      <c r="B38" s="28" t="n"/>
      <c r="C38" s="30" t="inlineStr">
        <is>
          <t>秒數</t>
        </is>
      </c>
      <c r="D38" s="40" t="inlineStr">
        <is>
          <t>我的內容</t>
        </is>
      </c>
      <c r="E38" s="29" t="n"/>
      <c r="F38" s="28" t="n"/>
    </row>
    <row r="39" ht="32" customHeight="1" s="24">
      <c r="A39" s="44" t="inlineStr">
        <is>
          <t>我持續在處理的問題</t>
        </is>
      </c>
      <c r="B39" s="28" t="n"/>
      <c r="C39" s="34" t="inlineStr">
        <is>
          <t>0 到 15</t>
        </is>
      </c>
      <c r="D39" s="41" t="n"/>
      <c r="E39" s="29" t="n"/>
      <c r="F39" s="28" t="n"/>
    </row>
    <row r="40" ht="32" customHeight="1" s="24">
      <c r="A40" s="44" t="inlineStr">
        <is>
          <t>這個問題長成什麼作品（一到兩件）</t>
        </is>
      </c>
      <c r="B40" s="28" t="n"/>
      <c r="C40" s="34" t="inlineStr">
        <is>
          <t>15 到 35</t>
        </is>
      </c>
      <c r="D40" s="41" t="n"/>
      <c r="E40" s="29" t="n"/>
      <c r="F40" s="28" t="n"/>
    </row>
    <row r="41" ht="32" customHeight="1" s="24">
      <c r="A41" s="44" t="inlineStr">
        <is>
          <t>為什麼是這個媒材與形式</t>
        </is>
      </c>
      <c r="B41" s="28" t="n"/>
      <c r="C41" s="34" t="inlineStr">
        <is>
          <t>35 到 50</t>
        </is>
      </c>
      <c r="D41" s="41" t="n"/>
      <c r="E41" s="29" t="n"/>
      <c r="F41" s="28" t="n"/>
    </row>
    <row r="42" ht="32" customHeight="1" s="24">
      <c r="A42" s="44" t="inlineStr">
        <is>
          <t>接下來想深化什麼</t>
        </is>
      </c>
      <c r="B42" s="28" t="n"/>
      <c r="C42" s="34" t="inlineStr">
        <is>
          <t>50 到 60</t>
        </is>
      </c>
      <c r="D42" s="41" t="n"/>
      <c r="E42" s="29" t="n"/>
      <c r="F42" s="28" t="n"/>
    </row>
    <row r="43" ht="42" customHeight="1" s="24">
      <c r="A43" s="42" t="inlineStr">
        <is>
          <t>練到能在一分鐘內講完，而且不需要看稿。計時。</t>
        </is>
      </c>
    </row>
    <row r="44" ht="40" customHeight="1" s="24">
      <c r="A44" s="1" t="n"/>
    </row>
    <row r="45" ht="24" customHeight="1" s="24">
      <c r="A45" s="3" t="inlineStr">
        <is>
          <t>四、面對不同意見的五個步驟</t>
        </is>
      </c>
    </row>
    <row r="46" ht="26" customHeight="1" s="24">
      <c r="A46" s="30" t="inlineStr">
        <is>
          <t>步驟</t>
        </is>
      </c>
      <c r="B46" s="40" t="inlineStr">
        <is>
          <t>做什麼</t>
        </is>
      </c>
      <c r="C46" s="28" t="n"/>
      <c r="D46" s="40" t="inlineStr">
        <is>
          <t>我的句型</t>
        </is>
      </c>
      <c r="E46" s="29" t="n"/>
      <c r="F46" s="28" t="n"/>
    </row>
    <row r="47" ht="32" customHeight="1" s="24">
      <c r="A47" s="9" t="n">
        <v>1</v>
      </c>
      <c r="B47" s="44" t="inlineStr">
        <is>
          <t>先確認問題。把模糊的批評問成具體問題。</t>
        </is>
      </c>
      <c r="C47" s="28" t="n"/>
      <c r="D47" s="41" t="n"/>
      <c r="E47" s="29" t="n"/>
      <c r="F47" s="28" t="n"/>
    </row>
    <row r="48" ht="32" customHeight="1" s="24">
      <c r="A48" s="9" t="n">
        <v>2</v>
      </c>
      <c r="B48" s="44" t="inlineStr">
        <is>
          <t>說明原本的選擇。讓對方知道那是判斷，不是隨便。</t>
        </is>
      </c>
      <c r="C48" s="28" t="n"/>
      <c r="D48" s="41" t="n"/>
      <c r="E48" s="29" t="n"/>
      <c r="F48" s="28" t="n"/>
    </row>
    <row r="49" ht="32" customHeight="1" s="24">
      <c r="A49" s="9" t="n">
        <v>3</v>
      </c>
      <c r="B49" s="44" t="inlineStr">
        <is>
          <t>接受合理的質疑。對的部分直接承認。</t>
        </is>
      </c>
      <c r="C49" s="28" t="n"/>
      <c r="D49" s="41" t="n"/>
      <c r="E49" s="29" t="n"/>
      <c r="F49" s="28" t="n"/>
    </row>
    <row r="50" ht="32" customHeight="1" s="24">
      <c r="A50" s="9" t="n">
        <v>4</v>
      </c>
      <c r="B50" s="44" t="inlineStr">
        <is>
          <t>指出目前的限制。技術、時間、預算、經驗。</t>
        </is>
      </c>
      <c r="C50" s="28" t="n"/>
      <c r="D50" s="41" t="n"/>
      <c r="E50" s="29" t="n"/>
      <c r="F50" s="28" t="n"/>
    </row>
    <row r="51" ht="32" customHeight="1" s="24">
      <c r="A51" s="9" t="n">
        <v>5</v>
      </c>
      <c r="B51" s="44" t="inlineStr">
        <is>
          <t>提出可能的修正方向。把批評轉成下一步工作。</t>
        </is>
      </c>
      <c r="C51" s="28" t="n"/>
      <c r="D51" s="41" t="n"/>
      <c r="E51" s="29" t="n"/>
      <c r="F51" s="28" t="n"/>
    </row>
    <row r="52" ht="42" customHeight="1" s="24">
      <c r="A52" s="42" t="inlineStr">
        <is>
          <t>第三步做不到的人，後面說什麼都會顯得防衛。第五步是最後也最重要的一步。</t>
        </is>
      </c>
    </row>
    <row r="53" ht="40" customHeight="1" s="24">
      <c r="A53" s="1" t="n"/>
    </row>
    <row r="54" ht="24" customHeight="1" s="24">
      <c r="A54" s="3" t="inlineStr">
        <is>
          <t>五、預先想好三個可能的反對意見</t>
        </is>
      </c>
    </row>
    <row r="55" ht="26" customHeight="1" s="24">
      <c r="A55" s="30" t="inlineStr">
        <is>
          <t>編號</t>
        </is>
      </c>
      <c r="B55" s="40" t="inlineStr">
        <is>
          <t>教授可能質疑什麼</t>
        </is>
      </c>
      <c r="C55" s="28" t="n"/>
      <c r="D55" s="40" t="inlineStr">
        <is>
          <t>我的回應</t>
        </is>
      </c>
      <c r="E55" s="29" t="n"/>
      <c r="F55" s="28" t="n"/>
    </row>
    <row r="56" ht="32" customHeight="1" s="24">
      <c r="A56" s="9" t="n">
        <v>1</v>
      </c>
      <c r="B56" s="41" t="n"/>
      <c r="C56" s="28" t="n"/>
      <c r="D56" s="41" t="n"/>
      <c r="E56" s="29" t="n"/>
      <c r="F56" s="28" t="n"/>
    </row>
    <row r="57" ht="32" customHeight="1" s="24">
      <c r="A57" s="9" t="n">
        <v>2</v>
      </c>
      <c r="B57" s="41" t="n"/>
      <c r="C57" s="28" t="n"/>
      <c r="D57" s="41" t="n"/>
      <c r="E57" s="29" t="n"/>
      <c r="F57" s="28" t="n"/>
    </row>
    <row r="58" ht="32" customHeight="1" s="24">
      <c r="A58" s="9" t="n">
        <v>3</v>
      </c>
      <c r="B58" s="41" t="n"/>
      <c r="C58" s="28" t="n"/>
      <c r="D58" s="41" t="n"/>
      <c r="E58" s="29" t="n"/>
      <c r="F58" s="28" t="n"/>
    </row>
    <row r="59" ht="42" customHeight="1" s="24">
      <c r="A59" s="42" t="inlineStr">
        <is>
          <t>從備審選件時你自己知道的弱點開始想。那些問題教授本來就看得出來。</t>
        </is>
      </c>
    </row>
    <row r="60" ht="42" customFormat="1" customHeight="1" s="35">
      <c r="A60" s="32" t="n"/>
    </row>
    <row r="61" ht="42" customHeight="1" s="24">
      <c r="A61" s="42" t="inlineStr">
        <is>
          <t>填完切到「檢核表」分頁。</t>
        </is>
      </c>
    </row>
    <row r="62" ht="14" customHeight="1" s="24">
      <c r="A62" s="1" t="n"/>
    </row>
    <row r="63" ht="28" customHeight="1" s="24">
      <c r="A63" s="7" t="inlineStr">
        <is>
          <t># 搭配文章：藝術研究所口試：怎麼答辯自己的作品　https://tbd-edu.com/pages/resources/arts-graduate-oral.html</t>
        </is>
      </c>
    </row>
    <row r="64" ht="28" customHeight="1" s="24">
      <c r="A64" s="7" t="inlineStr">
        <is>
          <t># TBD Studio ｜ https://tbd-edu.com/</t>
        </is>
      </c>
    </row>
  </sheetData>
  <mergeCells count="62">
    <mergeCell ref="B47:C47"/>
    <mergeCell ref="C6:D6"/>
    <mergeCell ref="D41:F41"/>
    <mergeCell ref="C15:D15"/>
    <mergeCell ref="D32:F32"/>
    <mergeCell ref="C5:D5"/>
    <mergeCell ref="A27:F27"/>
    <mergeCell ref="B46:C46"/>
    <mergeCell ref="D48:F48"/>
    <mergeCell ref="C14:D14"/>
    <mergeCell ref="B56:C56"/>
    <mergeCell ref="D47:F47"/>
    <mergeCell ref="B58:C58"/>
    <mergeCell ref="A2:F2"/>
    <mergeCell ref="C20:D20"/>
    <mergeCell ref="B48:C48"/>
    <mergeCell ref="C10:D10"/>
    <mergeCell ref="C16:D16"/>
    <mergeCell ref="A41:B41"/>
    <mergeCell ref="A23:F23"/>
    <mergeCell ref="D56:F56"/>
    <mergeCell ref="D58:F58"/>
    <mergeCell ref="A35:F35"/>
    <mergeCell ref="C9:D9"/>
    <mergeCell ref="D39:F39"/>
    <mergeCell ref="D30:F30"/>
    <mergeCell ref="B57:C57"/>
    <mergeCell ref="D33:F33"/>
    <mergeCell ref="D55:F55"/>
    <mergeCell ref="A43:F43"/>
    <mergeCell ref="D42:F42"/>
    <mergeCell ref="D51:F51"/>
    <mergeCell ref="C12:D12"/>
    <mergeCell ref="D38:F38"/>
    <mergeCell ref="A52:F52"/>
    <mergeCell ref="D29:F29"/>
    <mergeCell ref="C21:D21"/>
    <mergeCell ref="C11:D11"/>
    <mergeCell ref="A42:B42"/>
    <mergeCell ref="D50:F50"/>
    <mergeCell ref="D57:F57"/>
    <mergeCell ref="C17:D17"/>
    <mergeCell ref="B49:C49"/>
    <mergeCell ref="D34:F34"/>
    <mergeCell ref="A59:F59"/>
    <mergeCell ref="C8:D8"/>
    <mergeCell ref="A24:F24"/>
    <mergeCell ref="B55:C55"/>
    <mergeCell ref="A38:B38"/>
    <mergeCell ref="C7:D7"/>
    <mergeCell ref="D31:F31"/>
    <mergeCell ref="D46:F46"/>
    <mergeCell ref="B51:C51"/>
    <mergeCell ref="C19:D19"/>
    <mergeCell ref="D40:F40"/>
    <mergeCell ref="A61:F61"/>
    <mergeCell ref="C13:D13"/>
    <mergeCell ref="A39:B39"/>
    <mergeCell ref="C18:D18"/>
    <mergeCell ref="B50:C50"/>
    <mergeCell ref="D49:F49"/>
    <mergeCell ref="A40:B40"/>
  </mergeCells>
  <dataValidations count="1">
    <dataValidation sqref="E6:F21" showDropDown="0" showInputMessage="0" showErrorMessage="0" allowBlank="0" type="list">
      <formula1>"✓"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zoomScale="75" workbookViewId="0">
      <pane ySplit="2" topLeftCell="A22" activePane="bottomLeft" state="frozen"/>
      <selection pane="bottomLeft" activeCell="A5" sqref="A5:B5"/>
    </sheetView>
  </sheetViews>
  <sheetFormatPr baseColWidth="10" defaultColWidth="14.5" defaultRowHeight="22" customHeight="1"/>
  <cols>
    <col width="41.6640625" customWidth="1" style="24" min="1" max="1"/>
    <col width="32" customWidth="1" style="24" min="2" max="2"/>
    <col width="19.1640625" customWidth="1" style="24" min="3" max="3"/>
    <col width="73.6640625" customWidth="1" style="24" min="4" max="4"/>
  </cols>
  <sheetData>
    <row r="1" ht="30" customHeight="1" s="24">
      <c r="A1" s="2" t="inlineStr">
        <is>
          <t>藝術｜口試自我檢核表：作品答辯　v1</t>
        </is>
      </c>
    </row>
    <row r="2" ht="28" customHeight="1" s="24">
      <c r="A2" s="39" t="inlineStr">
        <is>
          <t>3 區共 21 項。當場講得出來才打 ✓，「應該會吧」留白。判準見「先讀這裡」分頁。淡黃色的儲存格是要你填或勾的，其餘是給你讀的。</t>
        </is>
      </c>
    </row>
    <row r="3" ht="40" customHeight="1" s="24">
      <c r="A3" s="1" t="n"/>
    </row>
    <row r="4" ht="24" customHeight="1" s="24">
      <c r="A4" s="3" t="inlineStr">
        <is>
          <t>第 1 區　作品簡報設計（7 項）</t>
        </is>
      </c>
    </row>
    <row r="5" ht="26" customHeight="1" s="24">
      <c r="A5" s="40" t="inlineStr">
        <is>
          <t>檢核項目</t>
        </is>
      </c>
      <c r="B5" s="28" t="n"/>
      <c r="C5" s="30" t="inlineStr">
        <is>
          <t>確認</t>
        </is>
      </c>
      <c r="D5" s="30" t="inlineStr">
        <is>
          <t>沒打勾的話，下一步</t>
        </is>
      </c>
    </row>
    <row r="6" ht="58" customHeight="1" s="24">
      <c r="A6" s="44" t="inlineStr">
        <is>
          <t>開場三十秒說清楚母題</t>
        </is>
      </c>
      <c r="B6" s="28" t="n"/>
      <c r="C6" s="27" t="n"/>
      <c r="D6" s="34" t="inlineStr">
        <is>
          <t>不要從「我從小就喜歡畫畫」開始。第一句話就要讓教授知道你在處理什麼問題。</t>
        </is>
      </c>
    </row>
    <row r="7" ht="32" customHeight="1" s="24">
      <c r="A7" s="44" t="inlineStr">
        <is>
          <t>只選三到五件，講深不講多</t>
        </is>
      </c>
      <c r="B7" s="28" t="n"/>
      <c r="C7" s="27" t="n"/>
      <c r="D7" s="34" t="inlineStr">
        <is>
          <t>選能撐出脈絡的那幾件。時間有限，講深比講多有用。</t>
        </is>
      </c>
    </row>
    <row r="8" ht="32" customHeight="1" s="24">
      <c r="A8" s="44" t="inlineStr">
        <is>
          <t>每件只講一個重點</t>
        </is>
      </c>
      <c r="B8" s="28" t="n"/>
      <c r="C8" s="27" t="n"/>
      <c r="D8" s="34" t="inlineStr">
        <is>
          <t>這件在系列裡負責什麼、或它解決了什麼問題。</t>
        </is>
      </c>
    </row>
    <row r="9" ht="32" customHeight="1" s="24">
      <c r="A9" s="44" t="inlineStr">
        <is>
          <t>刻意留下可以被問的空間</t>
        </is>
      </c>
      <c r="B9" s="28" t="n"/>
      <c r="C9" s="27" t="n"/>
      <c r="D9" s="34" t="inlineStr">
        <is>
          <t>被問到你準備過的部分，遠比被問到你沒想過的部分好。</t>
        </is>
      </c>
    </row>
    <row r="10" ht="32" customHeight="1" s="24">
      <c r="A10" s="44" t="inlineStr">
        <is>
          <t>結尾自然接到創作計畫</t>
        </is>
      </c>
      <c r="B10" s="28" t="n"/>
      <c r="C10" s="27" t="n"/>
      <c r="D10" s="34" t="inlineStr">
        <is>
          <t>最後一件作品要能連到「所以我接下來想做什麼」。</t>
        </is>
      </c>
    </row>
    <row r="11" ht="32" customHeight="1" s="24">
      <c r="A11" s="44" t="inlineStr">
        <is>
          <t>準備一分鐘與三分鐘兩個版本</t>
        </is>
      </c>
      <c r="B11" s="28" t="n"/>
      <c r="C11" s="27" t="n"/>
      <c r="D11" s="34" t="inlineStr">
        <is>
          <t>現場時間常被壓縮，臨時刪減比事先準備好的版本差很多。</t>
        </is>
      </c>
    </row>
    <row r="12" ht="32" customHeight="1" s="24">
      <c r="A12" s="44" t="inlineStr">
        <is>
          <t>至少對著一個不熟悉我創作的人講過一次</t>
        </is>
      </c>
      <c r="B12" s="28" t="n"/>
      <c r="C12" s="27" t="n"/>
      <c r="D12" s="34" t="inlineStr">
        <is>
          <t>同溫層太懂你的作品，聽不出你哪裡跳過了解釋。</t>
        </is>
      </c>
    </row>
    <row r="13" ht="40" customHeight="1" s="24">
      <c r="A13" s="1" t="n"/>
    </row>
    <row r="14" ht="42" customHeight="1" s="24">
      <c r="A14" s="42" t="inlineStr">
        <is>
          <t>這份簡報不等於作品集，要另外設計。多數校所給五到十分鐘。</t>
        </is>
      </c>
    </row>
    <row r="15" ht="40" customHeight="1" s="24">
      <c r="A15" s="1" t="n"/>
    </row>
    <row r="16" ht="24" customHeight="1" s="24">
      <c r="A16" s="3" t="inlineStr">
        <is>
          <t>第 2 區　上場前檢核（8 項　沒滿就還不能上場）</t>
        </is>
      </c>
    </row>
    <row r="17" ht="26" customHeight="1" s="24">
      <c r="A17" s="40" t="inlineStr">
        <is>
          <t>檢核項目</t>
        </is>
      </c>
      <c r="B17" s="28" t="n"/>
      <c r="C17" s="30" t="inlineStr">
        <is>
          <t>確認</t>
        </is>
      </c>
      <c r="D17" s="30" t="inlineStr">
        <is>
          <t>沒打勾的話，下一步</t>
        </is>
      </c>
    </row>
    <row r="18" ht="32" customHeight="1" s="24">
      <c r="A18" s="44" t="inlineStr">
        <is>
          <t>能在一分鐘內說明自己的創作母題</t>
        </is>
      </c>
      <c r="B18" s="28" t="n"/>
      <c r="C18" s="27" t="n"/>
      <c r="D18" s="34" t="inlineStr">
        <is>
          <t>回一分鐘創作主張，計時練到不看稿。</t>
        </is>
      </c>
    </row>
    <row r="19" ht="32" customHeight="1" s="24">
      <c r="A19" s="44" t="inlineStr">
        <is>
          <t>能說明每件代表作的媒材與形式選擇理由</t>
        </is>
      </c>
      <c r="B19" s="28" t="n"/>
      <c r="C19" s="27" t="n"/>
      <c r="D19" s="34" t="inlineStr">
        <is>
          <t>回五步框架第二步。要有比較對象。</t>
        </is>
      </c>
    </row>
    <row r="20" ht="32" customHeight="1" s="24">
      <c r="A20" s="44" t="inlineStr">
        <is>
          <t>能指出相關藝術家與脈絡，並說明自己與他們的差別</t>
        </is>
      </c>
      <c r="B20" s="28" t="n"/>
      <c r="C20" s="27" t="n"/>
      <c r="D20" s="34" t="inlineStr">
        <is>
          <t>回五步框架第三步。差別要具體，不是風格不同。</t>
        </is>
      </c>
    </row>
    <row r="21" ht="32" customHeight="1" s="24">
      <c r="A21" s="44" t="inlineStr">
        <is>
          <t>已預想三個反對意見並準備回應</t>
        </is>
      </c>
      <c r="B21" s="28" t="n"/>
      <c r="C21" s="27" t="n"/>
      <c r="D21" s="34" t="inlineStr">
        <is>
          <t>回題庫與素材第五節。從選件時的弱點開始想。</t>
        </is>
      </c>
    </row>
    <row r="22" ht="32" customHeight="1" s="24">
      <c r="A22" s="44" t="inlineStr">
        <is>
          <t>能說明進研究所後的具體發展，包括計畫不如預期時的替代路徑</t>
        </is>
      </c>
      <c r="B22" s="28" t="n"/>
      <c r="C22" s="27" t="n"/>
      <c r="D22" s="34" t="inlineStr">
        <is>
          <t>回題庫研究計畫那四題，特別是最後一題。</t>
        </is>
      </c>
    </row>
    <row r="23" ht="32" customHeight="1" s="24">
      <c r="A23" s="44" t="inlineStr">
        <is>
          <t>作品簡報有一分鐘與三分鐘兩個版本</t>
        </is>
      </c>
      <c r="B23" s="28" t="n"/>
      <c r="C23" s="27" t="n"/>
      <c r="D23" s="34" t="inlineStr">
        <is>
          <t>回第 1 區第六項。</t>
        </is>
      </c>
    </row>
    <row r="24" ht="32" customHeight="1" s="24">
      <c r="A24" s="44" t="inlineStr">
        <is>
          <t>送件後的新作準備了一到兩張圖，能接回既有脈絡</t>
        </is>
      </c>
      <c r="B24" s="28" t="n"/>
      <c r="C24" s="27" t="n"/>
      <c r="D24" s="34" t="inlineStr">
        <is>
          <t>講它在處理前一個系列留下的哪個問題。不要臨時翻手機。</t>
        </is>
      </c>
    </row>
    <row r="25" ht="32" customHeight="1" s="24">
      <c r="A25" s="44" t="inlineStr">
        <is>
          <t>若要帶實體作品或材料樣本，已確認現場條件並想好為什麼帶它</t>
        </is>
      </c>
      <c r="B25" s="28" t="n"/>
      <c r="C25" s="27" t="n"/>
      <c r="D25" s="34" t="inlineStr">
        <is>
          <t>一到兩件、放得下、能在三十秒內講清楚為什麼帶。</t>
        </is>
      </c>
    </row>
    <row r="26" ht="40" customHeight="1" s="24">
      <c r="A26" s="1" t="n"/>
    </row>
    <row r="27" ht="42" customHeight="1" s="24">
      <c r="A27" s="42" t="inlineStr">
        <is>
          <t>這八項是最後那道閘門。它們不是新工作，是把前面的準備再問一次。</t>
        </is>
      </c>
    </row>
    <row r="28" ht="40" customHeight="1" s="24">
      <c r="A28" s="1" t="n"/>
    </row>
    <row r="29" ht="24" customHeight="1" s="24">
      <c r="A29" s="3" t="inlineStr">
        <is>
          <t>第 3 區　常見失分點（6 項　✓ 代表我不會這樣答）</t>
        </is>
      </c>
    </row>
    <row r="30" ht="26" customHeight="1" s="24">
      <c r="A30" s="40" t="inlineStr">
        <is>
          <t>檢核項目</t>
        </is>
      </c>
      <c r="B30" s="28" t="n"/>
      <c r="C30" s="30" t="inlineStr">
        <is>
          <t>確認</t>
        </is>
      </c>
      <c r="D30" s="30" t="inlineStr">
        <is>
          <t>沒打勾的話，下一步</t>
        </is>
      </c>
    </row>
    <row r="31" ht="32" customHeight="1" s="24">
      <c r="A31" s="44" t="inlineStr">
        <is>
          <t>講作品的製作過程，但說不出它在處理什麼問題</t>
        </is>
      </c>
      <c r="B31" s="28" t="n"/>
      <c r="C31" s="27" t="n"/>
      <c r="D31" s="34" t="inlineStr">
        <is>
          <t>每件作品先答「在處理什麼問題」，製作過程放後面。</t>
        </is>
      </c>
    </row>
    <row r="32" ht="32" customHeight="1" s="24">
      <c r="A32" s="44" t="inlineStr">
        <is>
          <t>被問到與某位藝術家的差別時，只答得出風格不同</t>
        </is>
      </c>
      <c r="B32" s="28" t="n"/>
      <c r="C32" s="27" t="n"/>
      <c r="D32" s="34" t="inlineStr">
        <is>
          <t>改答「他處理的是什麼，我把重點放在哪裡」。</t>
        </is>
      </c>
    </row>
    <row r="33" ht="32" customHeight="1" s="24">
      <c r="A33" s="44" t="inlineStr">
        <is>
          <t>母題說得出來，但舉不出兩件以上的作品當證據</t>
        </is>
      </c>
      <c r="B33" s="28" t="n"/>
      <c r="C33" s="27" t="n"/>
      <c r="D33" s="34" t="inlineStr">
        <is>
          <t>回題庫第三題「不同系列之間有什麼關係」。</t>
        </is>
      </c>
    </row>
    <row r="34" ht="32" customHeight="1" s="24">
      <c r="A34" s="44" t="inlineStr">
        <is>
          <t>被指出作品與計畫脫節時只重述創作理念，沒有承認落差</t>
        </is>
      </c>
      <c r="B34" s="28" t="n"/>
      <c r="C34" s="27" t="n"/>
      <c r="D34" s="34" t="inlineStr">
        <is>
          <t>回面對不同意見的第三步。對的部分直接承認。</t>
        </is>
      </c>
    </row>
    <row r="35" ht="32" customHeight="1" s="24">
      <c r="A35" s="44" t="inlineStr">
        <is>
          <t>談媒材停在技術層次，說不出為什麼這個媒材服務這個概念</t>
        </is>
      </c>
      <c r="B35" s="28" t="n"/>
      <c r="C35" s="27" t="n"/>
      <c r="D35" s="34" t="inlineStr">
        <is>
          <t>回題庫「技術選擇如何服務概念」那一題。</t>
        </is>
      </c>
    </row>
    <row r="36" ht="32" customHeight="1" s="24">
      <c r="A36" s="44" t="inlineStr">
        <is>
          <t>未來創作計畫的規模，明顯超過碩士修業年限</t>
        </is>
      </c>
      <c r="B36" s="28" t="n"/>
      <c r="C36" s="27" t="n"/>
      <c r="D36" s="34" t="inlineStr">
        <is>
          <t>砍到兩年做得完的範圍，並說得出第一年要做什麼。</t>
        </is>
      </c>
    </row>
    <row r="37" ht="40" customHeight="1" s="24">
      <c r="A37" s="1" t="n"/>
    </row>
    <row r="38" ht="42" customHeight="1" s="24">
      <c r="A38" s="42" t="inlineStr">
        <is>
          <t>打完切到「我到哪了」分頁看結果。</t>
        </is>
      </c>
    </row>
    <row r="39" ht="14" customHeight="1" s="24">
      <c r="A39" s="1" t="n"/>
    </row>
    <row r="40" ht="28" customHeight="1" s="24">
      <c r="A40" s="7" t="inlineStr">
        <is>
          <t># 搭配文章：藝術研究所口試：怎麼答辯自己的作品　https://tbd-edu.com/pages/resources/arts-graduate-oral.html</t>
        </is>
      </c>
    </row>
    <row r="41" ht="28" customHeight="1" s="24">
      <c r="A41" s="7" t="inlineStr">
        <is>
          <t># TBD Studio ｜ https://tbd-edu.com/</t>
        </is>
      </c>
    </row>
  </sheetData>
  <mergeCells count="28">
    <mergeCell ref="A24:B24"/>
    <mergeCell ref="A30:B30"/>
    <mergeCell ref="A11:B11"/>
    <mergeCell ref="A38:D38"/>
    <mergeCell ref="A36:B36"/>
    <mergeCell ref="A14:D14"/>
    <mergeCell ref="A6:B6"/>
    <mergeCell ref="A7:B7"/>
    <mergeCell ref="A25:B25"/>
    <mergeCell ref="A18:B18"/>
    <mergeCell ref="A12:B12"/>
    <mergeCell ref="A21:B21"/>
    <mergeCell ref="A33:B33"/>
    <mergeCell ref="A5:B5"/>
    <mergeCell ref="A32:B32"/>
    <mergeCell ref="A17:B17"/>
    <mergeCell ref="A23:B23"/>
    <mergeCell ref="A8:B8"/>
    <mergeCell ref="A22:B22"/>
    <mergeCell ref="A35:B35"/>
    <mergeCell ref="A20:B20"/>
    <mergeCell ref="A27:D27"/>
    <mergeCell ref="A19:B19"/>
    <mergeCell ref="A10:B10"/>
    <mergeCell ref="A2:D2"/>
    <mergeCell ref="A9:B9"/>
    <mergeCell ref="A31:B31"/>
    <mergeCell ref="A34:B34"/>
  </mergeCells>
  <dataValidations count="1">
    <dataValidation sqref="C6:C12 C18:C25 C31:C36" showDropDown="0" showInputMessage="0" showErrorMessage="0" allowBlank="0" type="list">
      <formula1>"✓"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zoomScale="75" workbookViewId="0">
      <pane ySplit="2" topLeftCell="A3" activePane="bottomLeft" state="frozen"/>
      <selection pane="bottomLeft" activeCell="D11" sqref="D11"/>
    </sheetView>
  </sheetViews>
  <sheetFormatPr baseColWidth="10" defaultColWidth="14.5" defaultRowHeight="22" customHeight="1"/>
  <cols>
    <col width="41.6640625" customWidth="1" style="24" min="1" max="1"/>
    <col width="19.1640625" customWidth="1" style="24" min="2" max="2"/>
    <col width="54.33203125" customWidth="1" style="24" min="3" max="3"/>
    <col width="67.1640625" customWidth="1" style="24" min="4" max="4"/>
    <col width="12" customWidth="1" style="24" min="5" max="6"/>
    <col width="9" customWidth="1" style="24" min="7" max="7"/>
  </cols>
  <sheetData>
    <row r="1" ht="30" customHeight="1" s="24">
      <c r="A1" s="2" t="inlineStr">
        <is>
          <t>藝術｜口試自我檢核表：作品答辯　v1</t>
        </is>
      </c>
    </row>
    <row r="2" ht="28" customHeight="1" s="24">
      <c r="A2" s="39" t="inlineStr">
        <is>
          <t>數字會跟著前面的分頁自動變。留白的項目就是你接下來的工作清單。</t>
        </is>
      </c>
    </row>
    <row r="3" ht="40" customHeight="1" s="24">
      <c r="A3" s="1" t="n"/>
    </row>
    <row r="4" ht="24" customHeight="1" s="24">
      <c r="A4" s="3" t="inlineStr">
        <is>
          <t>5 區完成度</t>
        </is>
      </c>
    </row>
    <row r="5" ht="26" customHeight="1" s="24">
      <c r="A5" s="30" t="inlineStr">
        <is>
          <t>區塊</t>
        </is>
      </c>
      <c r="B5" s="30" t="inlineStr">
        <is>
          <t>已確認</t>
        </is>
      </c>
      <c r="C5" s="30" t="inlineStr">
        <is>
          <t>完成的比例（滿格代表這一區做完）</t>
        </is>
      </c>
      <c r="D5" s="30" t="inlineStr">
        <is>
          <t>這一區在檢查什麼</t>
        </is>
      </c>
    </row>
    <row r="6" ht="32" customHeight="1" s="24">
      <c r="A6" s="34" t="inlineStr">
        <is>
          <t>題庫：寫出答案</t>
        </is>
      </c>
      <c r="B6" s="34">
        <f>COUNTIF(題庫與素材!E6:E21,"✓")&amp;" / 16"</f>
        <v/>
      </c>
      <c r="C6" s="34">
        <f>IF(COUNTIF(題庫與素材!E6:E21,"✓")=0,"尚未開始",REPT("█",ROUND(COUNTIF(題庫與素材!E6:E21,"✓")/16*16,0)))</f>
        <v/>
      </c>
      <c r="D6" s="34" t="inlineStr">
        <is>
          <t>四類追問各四題，寫得出答案了沒。</t>
        </is>
      </c>
    </row>
    <row r="7" ht="32" customHeight="1" s="24">
      <c r="A7" s="34" t="inlineStr">
        <is>
          <t>題庫：練過口說</t>
        </is>
      </c>
      <c r="B7" s="34">
        <f>COUNTIF(題庫與素材!F6:F21,"✓")&amp;" / 16"</f>
        <v/>
      </c>
      <c r="C7" s="34">
        <f>IF(COUNTIF(題庫與素材!F6:F21,"✓")=0,"尚未開始",REPT("█",ROUND(COUNTIF(題庫與素材!F6:F21,"✓")/16*16,0)))</f>
        <v/>
      </c>
      <c r="D7" s="34" t="inlineStr">
        <is>
          <t>同樣十六題，對著人講得出來了沒。</t>
        </is>
      </c>
    </row>
    <row r="8" ht="32" customHeight="1" s="24">
      <c r="A8" s="34" t="inlineStr">
        <is>
          <t>作品簡報設計</t>
        </is>
      </c>
      <c r="B8" s="34">
        <f>COUNTIF(檢核表!C6:C12,"✓")&amp;" / 7"</f>
        <v/>
      </c>
      <c r="C8" s="34">
        <f>IF(COUNTIF(檢核表!C6:C12,"✓")=0,"尚未開始",REPT("█",ROUND(COUNTIF(檢核表!C6:C12,"✓")/7*16,0)))</f>
        <v/>
      </c>
      <c r="D8" s="34" t="inlineStr">
        <is>
          <t>簡報有沒有另外設計，不是作品集翻一遍。</t>
        </is>
      </c>
    </row>
    <row r="9" ht="32" customHeight="1" s="24">
      <c r="A9" s="34" t="inlineStr">
        <is>
          <t>上場前檢核</t>
        </is>
      </c>
      <c r="B9" s="34">
        <f>COUNTIF(檢核表!C18:C25,"✓")&amp;" / 8"</f>
        <v/>
      </c>
      <c r="C9" s="34">
        <f>IF(COUNTIF(檢核表!C18:C25,"✓")=0,"尚未開始",REPT("█",ROUND(COUNTIF(檢核表!C18:C25,"✓")/8*16,0)))</f>
        <v/>
      </c>
      <c r="D9" s="34" t="inlineStr">
        <is>
          <t>最後那道閘門。這八項沒到就還不能上場。</t>
        </is>
      </c>
    </row>
    <row r="10" ht="32" customHeight="1" s="24">
      <c r="A10" s="34" t="inlineStr">
        <is>
          <t>常見失分點</t>
        </is>
      </c>
      <c r="B10" s="34">
        <f>COUNTIF(檢核表!C31:C36,"✓")&amp;" / 6"</f>
        <v/>
      </c>
      <c r="C10" s="34">
        <f>IF(COUNTIF(檢核表!C31:C36,"✓")=0,"尚未開始",REPT("█",ROUND(COUNTIF(檢核表!C31:C36,"✓")/6*16,0)))</f>
        <v/>
      </c>
      <c r="D10" s="34" t="inlineStr">
        <is>
          <t>有沒有踩到最常見的六個失分回答。</t>
        </is>
      </c>
    </row>
    <row r="11" ht="32" customHeight="1" s="24">
      <c r="A11" s="34" t="inlineStr">
        <is>
          <t>合計</t>
        </is>
      </c>
      <c r="B11" s="34">
        <f>(COUNTIF(題庫與素材!E6:E21,"✓")+COUNTIF(題庫與素材!F6:F21,"✓")+COUNTIF(檢核表!C6:C12,"✓")+COUNTIF(檢核表!C18:C25,"✓")+COUNTIF(檢核表!C31:C36,"✓"))&amp;" / 53"</f>
        <v/>
      </c>
      <c r="C11" s="34">
        <f>IF((COUNTIF(題庫與素材!E6:E21,"✓")+COUNTIF(題庫與素材!F6:F21,"✓")+COUNTIF(檢核表!C6:C12,"✓")+COUNTIF(檢核表!C18:C25,"✓")+COUNTIF(檢核表!C31:C36,"✓"))=0,"尚未開始",REPT("█",ROUND((COUNTIF(題庫與素材!E6:E21,"✓")+COUNTIF(題庫與素材!F6:F21,"✓")+COUNTIF(檢核表!C6:C12,"✓")+COUNTIF(檢核表!C18:C25,"✓")+COUNTIF(檢核表!C31:C36,"✓"))/53*16,0)))</f>
        <v/>
      </c>
      <c r="D11" s="34" t="inlineStr">
        <is>
          <t>完成率見下方。</t>
        </is>
      </c>
    </row>
    <row r="12" ht="42" customHeight="1" s="24">
      <c r="A12" s="42" t="inlineStr">
        <is>
          <t>6 條長條都換算成同一個滿格刻度，所以可以直接互相比。最短的那一區就是你目前最弱的地方。</t>
        </is>
      </c>
    </row>
    <row r="13" ht="40" customHeight="1" s="24">
      <c r="A13" s="1" t="n"/>
    </row>
    <row r="14" ht="24" customHeight="1" s="24">
      <c r="A14" s="3" t="inlineStr">
        <is>
          <t>還有什麼可以做</t>
        </is>
      </c>
    </row>
    <row r="15" ht="26" customHeight="1" s="24">
      <c r="A15" s="30" t="inlineStr">
        <is>
          <t>完成率</t>
        </is>
      </c>
      <c r="B15" s="30" t="inlineStr">
        <is>
          <t>還沒打勾</t>
        </is>
      </c>
      <c r="C15" s="40" t="inlineStr">
        <is>
          <t>怎麼用這兩個數字</t>
        </is>
      </c>
      <c r="D15" s="28" t="n"/>
    </row>
    <row r="16" ht="32" customHeight="1" s="24">
      <c r="A16" s="10">
        <f>(COUNTIF(題庫與素材!E6:E21,"✓")+COUNTIF(題庫與素材!F6:F21,"✓")+COUNTIF(檢核表!C6:C12,"✓")+COUNTIF(檢核表!C18:C25,"✓")+COUNTIF(檢核表!C31:C36,"✓"))/53</f>
        <v/>
      </c>
      <c r="B16" s="34">
        <f>53-(COUNTIF(題庫與素材!E6:E21,"✓")+COUNTIF(題庫與素材!F6:F21,"✓")+COUNTIF(檢核表!C6:C12,"✓")+COUNTIF(檢核表!C18:C25,"✓")+COUNTIF(檢核表!C31:C36,"✓"))</f>
        <v/>
      </c>
      <c r="C16" s="44" t="inlineStr">
        <is>
          <t>「還沒打勾」就是你的工作清單長度。回「檢核表」看那幾列的「下一步」欄，一項對應一件要做的事。</t>
        </is>
      </c>
      <c r="D16" s="28" t="n"/>
    </row>
    <row r="17" ht="42" customHeight="1" s="24">
      <c r="A17" s="42" t="inlineStr">
        <is>
          <t>不用追求一次補完。每次回來處理三到五項，隔幾天再打一次，你會看得到自己的進度。</t>
        </is>
      </c>
    </row>
    <row r="18" ht="14" customHeight="1" s="24">
      <c r="A18" s="1" t="n"/>
    </row>
    <row r="19" ht="28" customHeight="1" s="24">
      <c r="A19" s="7" t="inlineStr">
        <is>
          <t># 搭配文章：藝術研究所口試：怎麼答辯自己的作品　https://tbd-edu.com/pages/resources/arts-graduate-oral.html</t>
        </is>
      </c>
      <c r="B19" s="6" t="n"/>
      <c r="C19" s="6" t="n"/>
      <c r="D19" s="6" t="n"/>
      <c r="E19" s="6" t="n"/>
      <c r="F19" s="6" t="n"/>
      <c r="G19" s="6" t="n"/>
    </row>
    <row r="20" ht="28" customHeight="1" s="24">
      <c r="A20" s="7" t="inlineStr">
        <is>
          <t># TBD Studio ｜ https://tbd-edu.com/</t>
        </is>
      </c>
      <c r="B20" s="6" t="n"/>
      <c r="C20" s="6" t="n"/>
      <c r="D20" s="6" t="n"/>
      <c r="E20" s="6" t="n"/>
      <c r="F20" s="6" t="n"/>
      <c r="G20" s="6" t="n"/>
    </row>
  </sheetData>
  <mergeCells count="5">
    <mergeCell ref="A17:D17"/>
    <mergeCell ref="C16:D16"/>
    <mergeCell ref="C15:D15"/>
    <mergeCell ref="A12:D12"/>
    <mergeCell ref="A2:D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tabSelected="1" zoomScale="75" workbookViewId="0">
      <pane ySplit="2" topLeftCell="A3" activePane="bottomLeft" state="frozen"/>
      <selection pane="bottomLeft" activeCell="C25" sqref="C25"/>
    </sheetView>
  </sheetViews>
  <sheetFormatPr baseColWidth="10" defaultColWidth="8.83203125" defaultRowHeight="15"/>
  <cols>
    <col width="16" customWidth="1" style="24" min="1" max="1"/>
    <col width="22" customWidth="1" style="24" min="2" max="2"/>
    <col width="36" customWidth="1" style="24" min="3" max="4"/>
    <col width="14" customWidth="1" style="24" min="5" max="5"/>
    <col width="12" customWidth="1" style="24" min="6" max="6"/>
  </cols>
  <sheetData>
    <row r="1" ht="30" customHeight="1" s="24">
      <c r="A1" s="13" t="inlineStr">
        <is>
          <t>藝術｜口試自我檢核表：作品答辯　v1</t>
        </is>
      </c>
    </row>
    <row r="2" ht="28" customHeight="1" s="24">
      <c r="A2" s="36" t="inlineStr">
        <is>
          <t>每模擬一次記一列。被問倒的地方就是接下來要補的，不用寫得漂亮。淡黃色的儲存格是要你填或勾的，其餘是給你讀的。</t>
        </is>
      </c>
    </row>
    <row r="3" ht="40" customHeight="1" s="24"/>
    <row r="4" ht="24" customHeight="1" s="24">
      <c r="A4" s="12" t="inlineStr">
        <is>
          <t>模擬追問紀錄</t>
        </is>
      </c>
    </row>
    <row r="5" ht="26" customHeight="1" s="24">
      <c r="A5" s="15" t="inlineStr">
        <is>
          <t>日期</t>
        </is>
      </c>
      <c r="B5" s="15" t="inlineStr">
        <is>
          <t>追問類型</t>
        </is>
      </c>
      <c r="C5" s="15" t="inlineStr">
        <is>
          <t>被問倒的地方</t>
        </is>
      </c>
      <c r="D5" s="15" t="inlineStr">
        <is>
          <t>我的下一步</t>
        </is>
      </c>
      <c r="E5" s="15" t="inlineStr">
        <is>
          <t>已改進</t>
        </is>
      </c>
    </row>
    <row r="6" ht="32" customHeight="1" s="24">
      <c r="A6" s="19" t="n"/>
      <c r="B6" s="20" t="n"/>
      <c r="C6" s="20" t="n"/>
      <c r="D6" s="20" t="n"/>
      <c r="E6" s="20" t="n"/>
    </row>
    <row r="7" ht="32" customHeight="1" s="24">
      <c r="A7" s="19" t="n"/>
      <c r="B7" s="20" t="n"/>
      <c r="C7" s="20" t="n"/>
      <c r="D7" s="20" t="n"/>
      <c r="E7" s="20" t="n"/>
    </row>
    <row r="8" ht="32" customHeight="1" s="24">
      <c r="A8" s="19" t="n"/>
      <c r="B8" s="20" t="n"/>
      <c r="C8" s="20" t="n"/>
      <c r="D8" s="20" t="n"/>
      <c r="E8" s="20" t="n"/>
    </row>
    <row r="9" ht="32" customHeight="1" s="24">
      <c r="A9" s="19" t="n"/>
      <c r="B9" s="20" t="n"/>
      <c r="C9" s="20" t="n"/>
      <c r="D9" s="20" t="n"/>
      <c r="E9" s="20" t="n"/>
    </row>
    <row r="10" ht="32" customHeight="1" s="24">
      <c r="A10" s="19" t="n"/>
      <c r="B10" s="20" t="n"/>
      <c r="C10" s="20" t="n"/>
      <c r="D10" s="20" t="n"/>
      <c r="E10" s="20" t="n"/>
    </row>
    <row r="11" ht="32" customHeight="1" s="24">
      <c r="A11" s="19" t="n"/>
      <c r="B11" s="20" t="n"/>
      <c r="C11" s="20" t="n"/>
      <c r="D11" s="20" t="n"/>
      <c r="E11" s="20" t="n"/>
    </row>
    <row r="12" ht="32" customHeight="1" s="24">
      <c r="A12" s="19" t="n"/>
      <c r="B12" s="20" t="n"/>
      <c r="C12" s="20" t="n"/>
      <c r="D12" s="20" t="n"/>
      <c r="E12" s="20" t="n"/>
    </row>
    <row r="13" ht="32" customHeight="1" s="24">
      <c r="A13" s="19" t="n"/>
      <c r="B13" s="20" t="n"/>
      <c r="C13" s="20" t="n"/>
      <c r="D13" s="20" t="n"/>
      <c r="E13" s="20" t="n"/>
    </row>
    <row r="14" ht="32" customHeight="1" s="24">
      <c r="A14" s="19" t="n"/>
      <c r="B14" s="20" t="n"/>
      <c r="C14" s="20" t="n"/>
      <c r="D14" s="20" t="n"/>
      <c r="E14" s="20" t="n"/>
    </row>
    <row r="15" ht="32" customHeight="1" s="24">
      <c r="A15" s="19" t="n"/>
      <c r="B15" s="20" t="n"/>
      <c r="C15" s="20" t="n"/>
      <c r="D15" s="20" t="n"/>
      <c r="E15" s="20" t="n"/>
    </row>
    <row r="16" ht="42" customHeight="1" s="24">
      <c r="A16" s="21" t="inlineStr">
        <is>
          <t>自己想過和被別人連續追問是兩種壓力。找學長姐、同學或顧問各做一輪，每一類都要問到。</t>
        </is>
      </c>
    </row>
    <row r="17" ht="14" customHeight="1" s="24"/>
    <row r="18" ht="28" customHeight="1" s="24">
      <c r="A18" s="17" t="inlineStr">
        <is>
          <t># 搭配文章：藝術研究所口試：怎麼答辯自己的作品　https://tbd-edu.com/pages/resources/arts-graduate-oral.html</t>
        </is>
      </c>
    </row>
    <row r="19" ht="28" customHeight="1" s="24">
      <c r="A19" s="17" t="inlineStr">
        <is>
          <t># TBD Studio ｜ https://tbd-edu.com/</t>
        </is>
      </c>
    </row>
  </sheetData>
  <mergeCells count="2">
    <mergeCell ref="A2:E2"/>
    <mergeCell ref="A16:E16"/>
  </mergeCells>
  <dataValidations count="2">
    <dataValidation sqref="E6:E15" showDropDown="0" showInputMessage="0" showErrorMessage="0" allowBlank="0" type="list">
      <formula1>"是,還沒"</formula1>
    </dataValidation>
    <dataValidation sqref="B6:B15" showDropDown="0" showInputMessage="0" showErrorMessage="0" allowBlank="0" type="list">
      <formula1>"作品與母題,媒材與形式,藝術脈絡,研究計畫"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2026-09-12T00:16:12Z</dcterms:created>
  <dcterms:modified xmlns:dcterms="http://purl.org/dc/terms/" xmlns:xsi="http://www.w3.org/2001/XMLSchema-instance" xsi:type="dcterms:W3CDTF">2026-09-24T14:04:37Z</dcterms:modified>
  <cp:lastModifiedBy>TBD Studio</cp:lastModifiedBy>
</cp:coreProperties>
</file>